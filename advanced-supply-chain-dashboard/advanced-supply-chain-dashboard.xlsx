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dd11262cc41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7aa97bbe954c4a4d"/>
    <x:sheet xmlns:r="http://schemas.openxmlformats.org/officeDocument/2006/relationships" name="Shipment Data" sheetId="2" r:id="R52e2debe70d843f2"/>
    <x:sheet xmlns:r="http://schemas.openxmlformats.org/officeDocument/2006/relationships" name="Inventory Data" sheetId="3" r:id="R8ba93730ccd348a1"/>
    <x:sheet xmlns:r="http://schemas.openxmlformats.org/officeDocument/2006/relationships" name="Supplier Scorecard" sheetId="4" r:id="R0fd2b51e904946db"/>
    <x:sheet xmlns:r="http://schemas.openxmlformats.org/officeDocument/2006/relationships" name="KPI Definitions" sheetId="5" r:id="R6669f510269c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"/>
    <x:numFmt numFmtId="202" formatCode="$#,##0"/>
    <x:numFmt numFmtId="203" formatCode="0.00x"/>
    <x:numFmt numFmtId="204" formatCode="#,##0"/>
  </x:numFmts>
  <x:fonts count="9">
    <x:font>
      <x:sz val="11"/>
      <x:name val="Carlito"/>
    </x:font>
    <x:font>
      <x:b/>
      <x:sz val="11"/>
      <x:color rgb="FFFFFFFF"/>
      <x:name val="Carlito"/>
    </x:font>
    <x:font>
      <x:sz val="11"/>
      <x:color rgb="FF243447"/>
      <x:name val="Aptos"/>
    </x:font>
    <x:font>
      <x:b/>
      <x:sz val="22"/>
      <x:color rgb="FFFFFFFF"/>
      <x:name val="Aptos"/>
    </x:font>
    <x:font>
      <x:i/>
      <x:sz val="10"/>
      <x:color rgb="FF243447"/>
      <x:name val="Aptos"/>
    </x:font>
    <x:font>
      <x:b/>
      <x:sz val="11"/>
      <x:color rgb="FF12324A"/>
      <x:name val="Aptos"/>
    </x:font>
    <x:font>
      <x:i/>
      <x:sz val="11"/>
      <x:color rgb="FF243447"/>
      <x:name val="Aptos"/>
    </x:font>
    <x:font>
      <x:b/>
      <x:sz val="14"/>
      <x:color rgb="FFFFFFFF"/>
      <x:name val="Aptos"/>
    </x:font>
    <x:font>
      <x:b/>
      <x:sz val="11"/>
      <x:color rgb="FFFFFFFF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DCEAF3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EEF3F7"/>
      </x:patternFill>
    </x:fill>
    <x:fill>
      <x:patternFill patternType="solid">
        <x:fgColor rgb="FF4C78A8"/>
      </x:patternFill>
    </x:fill>
    <x:fill>
      <x:patternFill patternType="solid">
        <x:fgColor rgb="FF59A14F"/>
      </x:patternFill>
    </x:fill>
    <x:fill>
      <x:patternFill patternType="solid">
        <x:fgColor rgb="FF1FA6A0"/>
      </x:patternFill>
    </x:fill>
    <x:fill>
      <x:patternFill patternType="solid">
        <x:fgColor rgb="FFF28E2B"/>
      </x:patternFill>
    </x:fill>
    <x:fill>
      <x:patternFill patternType="solid">
        <x:fgColor rgb="FFE15759"/>
      </x:patternFill>
    </x:fill>
  </x:fills>
  <x:borders count="21">
    <x:border/>
    <x:border>
      <x:left style="thin">
        <x:color rgb="FF9CB3C5"/>
      </x:left>
      <x:right style="thin">
        <x:color rgb="FF9CB3C5"/>
      </x:right>
      <x:top style="thin">
        <x:color rgb="FF9CB3C5"/>
      </x:top>
      <x:bottom style="thin">
        <x:color rgb="FF9CB3C5"/>
      </x:bottom>
    </x:border>
    <x:border>
      <x:left style="thin">
        <x:color rgb="FFF28E2B"/>
      </x:left>
      <x:right style="thin">
        <x:color rgb="FFF28E2B"/>
      </x:right>
      <x:top style="thin">
        <x:color rgb="FFF28E2B"/>
      </x:top>
      <x:bottom style="thin">
        <x:color rgb="FFF28E2B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bottom style="double">
        <x:color rgb="FF9CB3C5"/>
      </x:bottom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</x:borders>
  <x:cellStyleXfs count="1">
    <x:xf numFmtId="0" fontId="0" fillId="0" borderId="0"/>
  </x:cellStyleXfs>
  <x:cellXfs count="2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2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203" fontId="5" fillId="5" borderId="2" xfId="0" applyNumberFormat="1" applyFont="1" applyFill="1" applyBorder="1"/>
    <x:xf numFmtId="203" fontId="5" fillId="5" borderId="2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2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horizontal="center" wrapText="1"/>
    </x:xf>
    <x:xf numFmtId="0" fontId="7" fillId="7" borderId="4" xfId="0" applyNumberFormat="1" applyFont="1" applyFill="1" applyBorder="1" applyAlignment="1">
      <x:alignment horizontal="center" wrapText="1"/>
    </x:xf>
    <x:xf numFmtId="0" fontId="7" fillId="7" borderId="5" xfId="0" applyNumberFormat="1" applyFont="1" applyFill="1" applyBorder="1" applyAlignment="1">
      <x:alignment horizontal="center" wrapText="1"/>
    </x:xf>
    <x:xf numFmtId="0" fontId="7" fillId="7" borderId="6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7" xfId="0" applyNumberFormat="1" applyFont="1" applyFill="1" applyBorder="1" applyAlignment="1">
      <x:alignment horizontal="center" wrapText="1"/>
    </x:xf>
    <x:xf numFmtId="0" fontId="7" fillId="7" borderId="8" xfId="0" applyNumberFormat="1" applyFont="1" applyFill="1" applyBorder="1" applyAlignment="1">
      <x:alignment horizontal="center" wrapText="1"/>
    </x:xf>
    <x:xf numFmtId="0" fontId="7" fillId="7" borderId="9" xfId="0" applyNumberFormat="1" applyFont="1" applyFill="1" applyBorder="1" applyAlignment="1">
      <x:alignment horizontal="center" wrapText="1"/>
    </x:xf>
    <x:xf numFmtId="0" fontId="7" fillId="7" borderId="10" xfId="0" applyNumberFormat="1" applyFont="1" applyFill="1" applyBorder="1" applyAlignment="1">
      <x:alignment horizont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7" fillId="7" borderId="4" xfId="0" applyNumberFormat="1" applyFont="1" applyFill="1" applyBorder="1" applyAlignment="1">
      <x:alignment horizontal="center" vertic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7" fillId="7" borderId="6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7" xfId="0" applyNumberFormat="1" applyFont="1" applyFill="1" applyBorder="1" applyAlignment="1">
      <x:alignment horizontal="center" vertical="center" wrapText="1"/>
    </x:xf>
    <x:xf numFmtId="0" fontId="7" fillId="7" borderId="8" xfId="0" applyNumberFormat="1" applyFont="1" applyFill="1" applyBorder="1" applyAlignment="1">
      <x:alignment horizontal="center" vertical="center" wrapText="1"/>
    </x:xf>
    <x:xf numFmtId="0" fontId="7" fillId="7" borderId="9" xfId="0" applyNumberFormat="1" applyFont="1" applyFill="1" applyBorder="1" applyAlignment="1">
      <x:alignment horizontal="center" vertical="center" wrapText="1"/>
    </x:xf>
    <x:xf numFmtId="0" fontId="7" fillId="7" borderId="10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3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3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8" xfId="0" applyNumberFormat="1" applyFont="1" applyFill="1" applyBorder="1" applyAlignment="1">
      <x:alignment wrapText="1"/>
    </x:xf>
    <x:xf numFmtId="0" fontId="7" fillId="8" borderId="9" xfId="0" applyNumberFormat="1" applyFont="1" applyFill="1" applyBorder="1" applyAlignment="1">
      <x:alignment wrapText="1"/>
    </x:xf>
    <x:xf numFmtId="0" fontId="7" fillId="8" borderId="10" xfId="0" applyNumberFormat="1" applyFont="1" applyFill="1" applyBorder="1" applyAlignment="1">
      <x:alignment wrapText="1"/>
    </x:xf>
    <x:xf numFmtId="0" fontId="7" fillId="8" borderId="3" xfId="0" applyNumberFormat="1" applyFont="1" applyFill="1" applyBorder="1" applyAlignment="1">
      <x:alignment horizontal="center" wrapText="1"/>
    </x:xf>
    <x:xf numFmtId="0" fontId="7" fillId="8" borderId="4" xfId="0" applyNumberFormat="1" applyFont="1" applyFill="1" applyBorder="1" applyAlignment="1">
      <x:alignment horizontal="center" wrapText="1"/>
    </x:xf>
    <x:xf numFmtId="0" fontId="7" fillId="8" borderId="5" xfId="0" applyNumberFormat="1" applyFont="1" applyFill="1" applyBorder="1" applyAlignment="1">
      <x:alignment horizontal="center" wrapText="1"/>
    </x:xf>
    <x:xf numFmtId="0" fontId="7" fillId="8" borderId="6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7" xfId="0" applyNumberFormat="1" applyFont="1" applyFill="1" applyBorder="1" applyAlignment="1">
      <x:alignment horizontal="center" wrapText="1"/>
    </x:xf>
    <x:xf numFmtId="0" fontId="7" fillId="8" borderId="8" xfId="0" applyNumberFormat="1" applyFont="1" applyFill="1" applyBorder="1" applyAlignment="1">
      <x:alignment horizontal="center" wrapText="1"/>
    </x:xf>
    <x:xf numFmtId="0" fontId="7" fillId="8" borderId="9" xfId="0" applyNumberFormat="1" applyFont="1" applyFill="1" applyBorder="1" applyAlignment="1">
      <x:alignment horizontal="center" wrapText="1"/>
    </x:xf>
    <x:xf numFmtId="0" fontId="7" fillId="8" borderId="10" xfId="0" applyNumberFormat="1" applyFont="1" applyFill="1" applyBorder="1" applyAlignment="1">
      <x:alignment horizontal="center" wrapText="1"/>
    </x:xf>
    <x:xf numFmtId="0" fontId="7" fillId="8" borderId="3" xfId="0" applyNumberFormat="1" applyFont="1" applyFill="1" applyBorder="1" applyAlignment="1">
      <x:alignment horizontal="center" vertical="center" wrapText="1"/>
    </x:xf>
    <x:xf numFmtId="0" fontId="7" fillId="8" borderId="4" xfId="0" applyNumberFormat="1" applyFont="1" applyFill="1" applyBorder="1" applyAlignment="1">
      <x:alignment horizontal="center" vertical="center" wrapText="1"/>
    </x:xf>
    <x:xf numFmtId="0" fontId="7" fillId="8" borderId="5" xfId="0" applyNumberFormat="1" applyFont="1" applyFill="1" applyBorder="1" applyAlignment="1">
      <x:alignment horizontal="center" vertical="center" wrapText="1"/>
    </x:xf>
    <x:xf numFmtId="0" fontId="7" fillId="8" borderId="6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7" xfId="0" applyNumberFormat="1" applyFont="1" applyFill="1" applyBorder="1" applyAlignment="1">
      <x:alignment horizontal="center" vertical="center" wrapText="1"/>
    </x:xf>
    <x:xf numFmtId="0" fontId="7" fillId="8" borderId="8" xfId="0" applyNumberFormat="1" applyFont="1" applyFill="1" applyBorder="1" applyAlignment="1">
      <x:alignment horizontal="center" vertical="center" wrapText="1"/>
    </x:xf>
    <x:xf numFmtId="0" fontId="7" fillId="8" borderId="9" xfId="0" applyNumberFormat="1" applyFont="1" applyFill="1" applyBorder="1" applyAlignment="1">
      <x:alignment horizontal="center" vertical="center" wrapText="1"/>
    </x:xf>
    <x:xf numFmtId="0" fontId="7" fillId="8" borderId="1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3" xfId="0" applyNumberFormat="1" applyFont="1" applyFill="1" applyBorder="1"/>
    <x:xf numFmtId="0" fontId="7" fillId="9" borderId="4" xfId="0" applyNumberFormat="1" applyFont="1" applyFill="1" applyBorder="1"/>
    <x:xf numFmtId="0" fontId="7" fillId="9" borderId="5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7" fillId="9" borderId="8" xfId="0" applyNumberFormat="1" applyFont="1" applyFill="1" applyBorder="1"/>
    <x:xf numFmtId="0" fontId="7" fillId="9" borderId="9" xfId="0" applyNumberFormat="1" applyFont="1" applyFill="1" applyBorder="1"/>
    <x:xf numFmtId="0" fontId="7" fillId="9" borderId="10" xfId="0" applyNumberFormat="1" applyFont="1" applyFill="1" applyBorder="1"/>
    <x:xf numFmtId="0" fontId="7" fillId="9" borderId="3" xfId="0" applyNumberFormat="1" applyFont="1" applyFill="1" applyBorder="1" applyAlignment="1">
      <x:alignment wrapText="1"/>
    </x:xf>
    <x:xf numFmtId="0" fontId="7" fillId="9" borderId="4" xfId="0" applyNumberFormat="1" applyFont="1" applyFill="1" applyBorder="1" applyAlignment="1">
      <x:alignment wrapText="1"/>
    </x:xf>
    <x:xf numFmtId="0" fontId="7" fillId="9" borderId="5" xfId="0" applyNumberFormat="1" applyFont="1" applyFill="1" applyBorder="1" applyAlignment="1">
      <x:alignment wrapText="1"/>
    </x:xf>
    <x:xf numFmtId="0" fontId="7" fillId="9" borderId="6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7" xfId="0" applyNumberFormat="1" applyFont="1" applyFill="1" applyBorder="1" applyAlignment="1">
      <x:alignment wrapText="1"/>
    </x:xf>
    <x:xf numFmtId="0" fontId="7" fillId="9" borderId="8" xfId="0" applyNumberFormat="1" applyFont="1" applyFill="1" applyBorder="1" applyAlignment="1">
      <x:alignment wrapText="1"/>
    </x:xf>
    <x:xf numFmtId="0" fontId="7" fillId="9" borderId="9" xfId="0" applyNumberFormat="1" applyFont="1" applyFill="1" applyBorder="1" applyAlignment="1">
      <x:alignment wrapText="1"/>
    </x:xf>
    <x:xf numFmtId="0" fontId="7" fillId="9" borderId="10" xfId="0" applyNumberFormat="1" applyFont="1" applyFill="1" applyBorder="1" applyAlignment="1">
      <x:alignment wrapText="1"/>
    </x:xf>
    <x:xf numFmtId="0" fontId="7" fillId="9" borderId="3" xfId="0" applyNumberFormat="1" applyFont="1" applyFill="1" applyBorder="1" applyAlignment="1">
      <x:alignment horizontal="center" wrapText="1"/>
    </x:xf>
    <x:xf numFmtId="0" fontId="7" fillId="9" borderId="4" xfId="0" applyNumberFormat="1" applyFont="1" applyFill="1" applyBorder="1" applyAlignment="1">
      <x:alignment horizontal="center" wrapText="1"/>
    </x:xf>
    <x:xf numFmtId="0" fontId="7" fillId="9" borderId="5" xfId="0" applyNumberFormat="1" applyFont="1" applyFill="1" applyBorder="1" applyAlignment="1">
      <x:alignment horizontal="center" wrapText="1"/>
    </x:xf>
    <x:xf numFmtId="0" fontId="7" fillId="9" borderId="6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7" xfId="0" applyNumberFormat="1" applyFont="1" applyFill="1" applyBorder="1" applyAlignment="1">
      <x:alignment horizontal="center" wrapText="1"/>
    </x:xf>
    <x:xf numFmtId="0" fontId="7" fillId="9" borderId="8" xfId="0" applyNumberFormat="1" applyFont="1" applyFill="1" applyBorder="1" applyAlignment="1">
      <x:alignment horizontal="center" wrapText="1"/>
    </x:xf>
    <x:xf numFmtId="0" fontId="7" fillId="9" borderId="9" xfId="0" applyNumberFormat="1" applyFont="1" applyFill="1" applyBorder="1" applyAlignment="1">
      <x:alignment horizontal="center" wrapText="1"/>
    </x:xf>
    <x:xf numFmtId="0" fontId="7" fillId="9" borderId="10" xfId="0" applyNumberFormat="1" applyFont="1" applyFill="1" applyBorder="1" applyAlignment="1">
      <x:alignment horizontal="center" wrapText="1"/>
    </x:xf>
    <x:xf numFmtId="0" fontId="7" fillId="9" borderId="3" xfId="0" applyNumberFormat="1" applyFont="1" applyFill="1" applyBorder="1" applyAlignment="1">
      <x:alignment horizontal="center" vertical="center" wrapText="1"/>
    </x:xf>
    <x:xf numFmtId="0" fontId="7" fillId="9" borderId="4" xfId="0" applyNumberFormat="1" applyFont="1" applyFill="1" applyBorder="1" applyAlignment="1">
      <x:alignment horizontal="center" vertical="center" wrapText="1"/>
    </x:xf>
    <x:xf numFmtId="0" fontId="7" fillId="9" borderId="5" xfId="0" applyNumberFormat="1" applyFont="1" applyFill="1" applyBorder="1" applyAlignment="1">
      <x:alignment horizontal="center" vertical="center" wrapText="1"/>
    </x:xf>
    <x:xf numFmtId="0" fontId="7" fillId="9" borderId="6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7" xfId="0" applyNumberFormat="1" applyFont="1" applyFill="1" applyBorder="1" applyAlignment="1">
      <x:alignment horizontal="center" vertical="center" wrapText="1"/>
    </x:xf>
    <x:xf numFmtId="0" fontId="7" fillId="9" borderId="8" xfId="0" applyNumberFormat="1" applyFont="1" applyFill="1" applyBorder="1" applyAlignment="1">
      <x:alignment horizontal="center" vertical="center" wrapText="1"/>
    </x:xf>
    <x:xf numFmtId="0" fontId="7" fillId="9" borderId="9" xfId="0" applyNumberFormat="1" applyFont="1" applyFill="1" applyBorder="1" applyAlignment="1">
      <x:alignment horizontal="center" vertical="center" wrapText="1"/>
    </x:xf>
    <x:xf numFmtId="0" fontId="7" fillId="9" borderId="10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3" xfId="0" applyNumberFormat="1" applyFont="1" applyFill="1" applyBorder="1"/>
    <x:xf numFmtId="0" fontId="7" fillId="10" borderId="4" xfId="0" applyNumberFormat="1" applyFont="1" applyFill="1" applyBorder="1"/>
    <x:xf numFmtId="0" fontId="7" fillId="10" borderId="5" xfId="0" applyNumberFormat="1" applyFont="1" applyFill="1" applyBorder="1"/>
    <x:xf numFmtId="0" fontId="7" fillId="10" borderId="6" xfId="0" applyNumberFormat="1" applyFont="1" applyFill="1" applyBorder="1"/>
    <x:xf numFmtId="0" fontId="7" fillId="10" borderId="7" xfId="0" applyNumberFormat="1" applyFont="1" applyFill="1" applyBorder="1"/>
    <x:xf numFmtId="0" fontId="7" fillId="10" borderId="8" xfId="0" applyNumberFormat="1" applyFont="1" applyFill="1" applyBorder="1"/>
    <x:xf numFmtId="0" fontId="7" fillId="10" borderId="9" xfId="0" applyNumberFormat="1" applyFont="1" applyFill="1" applyBorder="1"/>
    <x:xf numFmtId="0" fontId="7" fillId="10" borderId="10" xfId="0" applyNumberFormat="1" applyFont="1" applyFill="1" applyBorder="1"/>
    <x:xf numFmtId="0" fontId="7" fillId="10" borderId="3" xfId="0" applyNumberFormat="1" applyFont="1" applyFill="1" applyBorder="1" applyAlignment="1">
      <x:alignment wrapText="1"/>
    </x:xf>
    <x:xf numFmtId="0" fontId="7" fillId="10" borderId="4" xfId="0" applyNumberFormat="1" applyFont="1" applyFill="1" applyBorder="1" applyAlignment="1">
      <x:alignment wrapText="1"/>
    </x:xf>
    <x:xf numFmtId="0" fontId="7" fillId="10" borderId="5" xfId="0" applyNumberFormat="1" applyFont="1" applyFill="1" applyBorder="1" applyAlignment="1">
      <x:alignment wrapText="1"/>
    </x:xf>
    <x:xf numFmtId="0" fontId="7" fillId="10" borderId="6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wrapText="1"/>
    </x:xf>
    <x:xf numFmtId="0" fontId="7" fillId="10" borderId="7" xfId="0" applyNumberFormat="1" applyFont="1" applyFill="1" applyBorder="1" applyAlignment="1">
      <x:alignment wrapText="1"/>
    </x:xf>
    <x:xf numFmtId="0" fontId="7" fillId="10" borderId="8" xfId="0" applyNumberFormat="1" applyFont="1" applyFill="1" applyBorder="1" applyAlignment="1">
      <x:alignment wrapText="1"/>
    </x:xf>
    <x:xf numFmtId="0" fontId="7" fillId="10" borderId="9" xfId="0" applyNumberFormat="1" applyFont="1" applyFill="1" applyBorder="1" applyAlignment="1">
      <x:alignment wrapText="1"/>
    </x:xf>
    <x:xf numFmtId="0" fontId="7" fillId="10" borderId="10" xfId="0" applyNumberFormat="1" applyFont="1" applyFill="1" applyBorder="1" applyAlignment="1">
      <x:alignment wrapText="1"/>
    </x:xf>
    <x:xf numFmtId="0" fontId="7" fillId="10" borderId="3" xfId="0" applyNumberFormat="1" applyFont="1" applyFill="1" applyBorder="1" applyAlignment="1">
      <x:alignment horizontal="center" wrapText="1"/>
    </x:xf>
    <x:xf numFmtId="0" fontId="7" fillId="10" borderId="4" xfId="0" applyNumberFormat="1" applyFont="1" applyFill="1" applyBorder="1" applyAlignment="1">
      <x:alignment horizontal="center" wrapText="1"/>
    </x:xf>
    <x:xf numFmtId="0" fontId="7" fillId="10" borderId="5" xfId="0" applyNumberFormat="1" applyFont="1" applyFill="1" applyBorder="1" applyAlignment="1">
      <x:alignment horizontal="center" wrapText="1"/>
    </x:xf>
    <x:xf numFmtId="0" fontId="7" fillId="10" borderId="6" xfId="0" applyNumberFormat="1" applyFont="1" applyFill="1" applyBorder="1" applyAlignment="1">
      <x:alignment horizontal="center" wrapText="1"/>
    </x:xf>
    <x:xf numFmtId="0" fontId="7" fillId="10" borderId="0" xfId="0" applyNumberFormat="1" applyFont="1" applyFill="1" applyBorder="1" applyAlignment="1">
      <x:alignment horizontal="center" wrapText="1"/>
    </x:xf>
    <x:xf numFmtId="0" fontId="7" fillId="10" borderId="7" xfId="0" applyNumberFormat="1" applyFont="1" applyFill="1" applyBorder="1" applyAlignment="1">
      <x:alignment horizontal="center" wrapText="1"/>
    </x:xf>
    <x:xf numFmtId="0" fontId="7" fillId="10" borderId="8" xfId="0" applyNumberFormat="1" applyFont="1" applyFill="1" applyBorder="1" applyAlignment="1">
      <x:alignment horizontal="center" wrapText="1"/>
    </x:xf>
    <x:xf numFmtId="0" fontId="7" fillId="10" borderId="9" xfId="0" applyNumberFormat="1" applyFont="1" applyFill="1" applyBorder="1" applyAlignment="1">
      <x:alignment horizontal="center" wrapText="1"/>
    </x:xf>
    <x:xf numFmtId="0" fontId="7" fillId="10" borderId="10" xfId="0" applyNumberFormat="1" applyFont="1" applyFill="1" applyBorder="1" applyAlignment="1">
      <x:alignment horizontal="center" wrapText="1"/>
    </x:xf>
    <x:xf numFmtId="0" fontId="7" fillId="10" borderId="3" xfId="0" applyNumberFormat="1" applyFont="1" applyFill="1" applyBorder="1" applyAlignment="1">
      <x:alignment horizontal="center" vertical="center" wrapText="1"/>
    </x:xf>
    <x:xf numFmtId="0" fontId="7" fillId="10" borderId="4" xfId="0" applyNumberFormat="1" applyFont="1" applyFill="1" applyBorder="1" applyAlignment="1">
      <x:alignment horizontal="center" vertical="center" wrapText="1"/>
    </x:xf>
    <x:xf numFmtId="0" fontId="7" fillId="10" borderId="5" xfId="0" applyNumberFormat="1" applyFont="1" applyFill="1" applyBorder="1" applyAlignment="1">
      <x:alignment horizontal="center" vertical="center" wrapText="1"/>
    </x:xf>
    <x:xf numFmtId="0" fontId="7" fillId="10" borderId="6" xfId="0" applyNumberFormat="1" applyFont="1" applyFill="1" applyBorder="1" applyAlignment="1">
      <x:alignment horizontal="center" vertical="center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7" fillId="10" borderId="7" xfId="0" applyNumberFormat="1" applyFont="1" applyFill="1" applyBorder="1" applyAlignment="1">
      <x:alignment horizontal="center" vertical="center" wrapText="1"/>
    </x:xf>
    <x:xf numFmtId="0" fontId="7" fillId="10" borderId="8" xfId="0" applyNumberFormat="1" applyFont="1" applyFill="1" applyBorder="1" applyAlignment="1">
      <x:alignment horizontal="center" vertical="center" wrapText="1"/>
    </x:xf>
    <x:xf numFmtId="0" fontId="7" fillId="10" borderId="9" xfId="0" applyNumberFormat="1" applyFont="1" applyFill="1" applyBorder="1" applyAlignment="1">
      <x:alignment horizontal="center" vertical="center" wrapText="1"/>
    </x:xf>
    <x:xf numFmtId="0" fontId="7" fillId="10" borderId="10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3" xfId="0" applyNumberFormat="1" applyFont="1" applyFill="1" applyBorder="1"/>
    <x:xf numFmtId="0" fontId="7" fillId="11" borderId="5" xfId="0" applyNumberFormat="1" applyFont="1" applyFill="1" applyBorder="1"/>
    <x:xf numFmtId="0" fontId="7" fillId="11" borderId="6" xfId="0" applyNumberFormat="1" applyFont="1" applyFill="1" applyBorder="1"/>
    <x:xf numFmtId="0" fontId="7" fillId="11" borderId="7" xfId="0" applyNumberFormat="1" applyFont="1" applyFill="1" applyBorder="1"/>
    <x:xf numFmtId="0" fontId="7" fillId="11" borderId="8" xfId="0" applyNumberFormat="1" applyFont="1" applyFill="1" applyBorder="1"/>
    <x:xf numFmtId="0" fontId="7" fillId="11" borderId="10" xfId="0" applyNumberFormat="1" applyFont="1" applyFill="1" applyBorder="1"/>
    <x:xf numFmtId="0" fontId="7" fillId="11" borderId="3" xfId="0" applyNumberFormat="1" applyFont="1" applyFill="1" applyBorder="1" applyAlignment="1">
      <x:alignment wrapText="1"/>
    </x:xf>
    <x:xf numFmtId="0" fontId="7" fillId="11" borderId="5" xfId="0" applyNumberFormat="1" applyFont="1" applyFill="1" applyBorder="1" applyAlignment="1">
      <x:alignment wrapText="1"/>
    </x:xf>
    <x:xf numFmtId="0" fontId="7" fillId="11" borderId="6" xfId="0" applyNumberFormat="1" applyFont="1" applyFill="1" applyBorder="1" applyAlignment="1">
      <x:alignment wrapText="1"/>
    </x:xf>
    <x:xf numFmtId="0" fontId="7" fillId="11" borderId="7" xfId="0" applyNumberFormat="1" applyFont="1" applyFill="1" applyBorder="1" applyAlignment="1">
      <x:alignment wrapText="1"/>
    </x:xf>
    <x:xf numFmtId="0" fontId="7" fillId="11" borderId="8" xfId="0" applyNumberFormat="1" applyFont="1" applyFill="1" applyBorder="1" applyAlignment="1">
      <x:alignment wrapText="1"/>
    </x:xf>
    <x:xf numFmtId="0" fontId="7" fillId="11" borderId="10" xfId="0" applyNumberFormat="1" applyFont="1" applyFill="1" applyBorder="1" applyAlignment="1">
      <x:alignment wrapText="1"/>
    </x:xf>
    <x:xf numFmtId="0" fontId="7" fillId="11" borderId="3" xfId="0" applyNumberFormat="1" applyFont="1" applyFill="1" applyBorder="1" applyAlignment="1">
      <x:alignment horizontal="center" wrapText="1"/>
    </x:xf>
    <x:xf numFmtId="0" fontId="7" fillId="11" borderId="5" xfId="0" applyNumberFormat="1" applyFont="1" applyFill="1" applyBorder="1" applyAlignment="1">
      <x:alignment horizontal="center" wrapText="1"/>
    </x:xf>
    <x:xf numFmtId="0" fontId="7" fillId="11" borderId="6" xfId="0" applyNumberFormat="1" applyFont="1" applyFill="1" applyBorder="1" applyAlignment="1">
      <x:alignment horizontal="center" wrapText="1"/>
    </x:xf>
    <x:xf numFmtId="0" fontId="7" fillId="11" borderId="7" xfId="0" applyNumberFormat="1" applyFont="1" applyFill="1" applyBorder="1" applyAlignment="1">
      <x:alignment horizontal="center" wrapText="1"/>
    </x:xf>
    <x:xf numFmtId="0" fontId="7" fillId="11" borderId="8" xfId="0" applyNumberFormat="1" applyFont="1" applyFill="1" applyBorder="1" applyAlignment="1">
      <x:alignment horizontal="center" wrapText="1"/>
    </x:xf>
    <x:xf numFmtId="0" fontId="7" fillId="11" borderId="10" xfId="0" applyNumberFormat="1" applyFont="1" applyFill="1" applyBorder="1" applyAlignment="1">
      <x:alignment horizontal="center" wrapText="1"/>
    </x:xf>
    <x:xf numFmtId="0" fontId="7" fillId="11" borderId="3" xfId="0" applyNumberFormat="1" applyFont="1" applyFill="1" applyBorder="1" applyAlignment="1">
      <x:alignment horizontal="center" vertical="center" wrapText="1"/>
    </x:xf>
    <x:xf numFmtId="0" fontId="7" fillId="11" borderId="5" xfId="0" applyNumberFormat="1" applyFont="1" applyFill="1" applyBorder="1" applyAlignment="1">
      <x:alignment horizontal="center" vertical="center" wrapText="1"/>
    </x:xf>
    <x:xf numFmtId="0" fontId="7" fillId="11" borderId="6" xfId="0" applyNumberFormat="1" applyFont="1" applyFill="1" applyBorder="1" applyAlignment="1">
      <x:alignment horizontal="center" vertical="center" wrapText="1"/>
    </x:xf>
    <x:xf numFmtId="0" fontId="7" fillId="11" borderId="7" xfId="0" applyNumberFormat="1" applyFont="1" applyFill="1" applyBorder="1" applyAlignment="1">
      <x:alignment horizontal="center" vertical="center" wrapText="1"/>
    </x:xf>
    <x:xf numFmtId="0" fontId="7" fillId="11" borderId="8" xfId="0" applyNumberFormat="1" applyFont="1" applyFill="1" applyBorder="1" applyAlignment="1">
      <x:alignment horizontal="center" vertical="center" wrapText="1"/>
    </x:xf>
    <x:xf numFmtId="0" fontId="7" fillId="11" borderId="10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/>
    <x:xf numFmtId="0" fontId="8" fillId="2" borderId="0" xfId="0" applyNumberFormat="1" applyFont="1" applyFill="1" applyBorder="1"/>
    <x:xf numFmtId="0" fontId="5" fillId="3" borderId="0" xfId="0" applyNumberFormat="1" applyFont="1" applyFill="1" applyBorder="1"/>
    <x:xf numFmtId="202" fontId="2" fillId="0" borderId="0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5" fillId="3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202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202" fontId="2" fillId="0" borderId="20" xfId="0" applyNumberFormat="1" applyFont="1" applyFill="1" applyBorder="1"/>
  </x:cellXfs>
  <x:cellStyles count="1">
    <x:cellStyle name="Normal" xfId="0"/>
  </x:cellStyles>
  <x:dxfs count="2">
    <x:dxf>
      <x:font>
        <x:b/>
        <x:color rgb="FFE15759"/>
      </x:font>
      <x:fill>
        <x:patternFill patternType="solid">
          <x:bgColor rgb="FFFCE8E8"/>
        </x:patternFill>
      </x:fill>
    </x:dxf>
    <x:dxf>
      <x:font>
        <x:b/>
        <x:color rgb="FFE15759"/>
      </x:font>
      <x:fill>
        <x:patternFill patternType="solid">
          <x:bgColor rgb="FFFC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487e44c7f4fc2" /><Relationship Type="http://schemas.openxmlformats.org/officeDocument/2006/relationships/theme" Target="/xl/theme/theme1.xml" Id="R9250d0c583e14444" /><Relationship Type="http://schemas.openxmlformats.org/officeDocument/2006/relationships/sharedStrings" Target="/xl/sharedStrings.xml" Id="R94b193024cc44300" /><Relationship Type="http://schemas.openxmlformats.org/officeDocument/2006/relationships/worksheet" Target="/xl/worksheets/sheet1.xml" Id="R7aa97bbe954c4a4d" /><Relationship Type="http://schemas.openxmlformats.org/officeDocument/2006/relationships/worksheet" Target="/xl/worksheets/sheet2.xml" Id="R52e2debe70d843f2" /><Relationship Type="http://schemas.openxmlformats.org/officeDocument/2006/relationships/worksheet" Target="/xl/worksheets/sheet3.xml" Id="R8ba93730ccd348a1" /><Relationship Type="http://schemas.openxmlformats.org/officeDocument/2006/relationships/worksheet" Target="/xl/worksheets/sheet4.xml" Id="R0fd2b51e904946db" /><Relationship Type="http://schemas.openxmlformats.org/officeDocument/2006/relationships/worksheet" Target="/xl/worksheets/sheet5.xml" Id="R6669f510269c47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b0d8811ca24396" /><Relationship Type="http://schemas.openxmlformats.org/officeDocument/2006/relationships/chart" Target="/xl/drawings/charts/chart2.xml" Id="R73af821c56174787" /><Relationship Type="http://schemas.openxmlformats.org/officeDocument/2006/relationships/chart" Target="/xl/drawings/charts/chart3.xml" Id="Rf02fc091f93f48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Demand vs Forecast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Actual Units</c:v>
          </c:tx>
          <c:marker>
            <c:symbol val="none"/>
          </c:marker>
          <c:cat>
            <c:strRef>
              <c:f>'Executive Dashboard'!$B$51:$B$62</c:f>
              <c:strCache>
                <c:ptCount val="0"/>
              </c:strCache>
            </c:strRef>
          </c:cat>
          <c:val>
            <c:numRef>
              <c:f>'Executive Dashboard'!$C$51:$C$62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Forecast Units</c:v>
          </c:tx>
          <c:marker>
            <c:symbol val="none"/>
          </c:marker>
          <c:cat>
            <c:strRef>
              <c:f>'Executive Dashboard'!$B$51:$B$62</c:f>
              <c:strCache>
                <c:ptCount val="0"/>
              </c:strCache>
            </c:strRef>
          </c:cat>
          <c:val>
            <c:numRef>
              <c:f>'Executive Dashboard'!$D$51:$D$62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Supplier Composite Score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Score</c:v>
          </c:tx>
          <c:cat>
            <c:strRef>
              <c:f>'Executive Dashboard'!$H$51:$H$62</c:f>
              <c:strCache>
                <c:ptCount val="0"/>
              </c:strCache>
            </c:strRef>
          </c:cat>
          <c:val>
            <c:numRef>
              <c:f>'Executive Dashboard'!$I$51:$I$62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Inventory Value at Risk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At-Risk Value</c:v>
          </c:tx>
          <c:cat>
            <c:strRef>
              <c:f>'Executive Dashboard'!$L$51:$L$55</c:f>
              <c:strCache>
                <c:ptCount val="0"/>
              </c:strCache>
            </c:strRef>
          </c:cat>
          <c:val>
            <c:numRef>
              <c:f>'Executive Dashboard'!$M$51:$M$55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11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b0d8811ca24396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af821c56174787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2fc091f93f481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hipmentTable" displayName="ShipmentTable" ref="A1:N241" headerRowCount="1" totalsRowCount="0" totalsRowShown="0">
  <x:tableColumns count="14">
    <x:tableColumn id="1" name="Shipment_ID"/>
    <x:tableColumn id="2" name="Ship_Date"/>
    <x:tableColumn id="3" name="Region"/>
    <x:tableColumn id="4" name="Supplier"/>
    <x:tableColumn id="5" name="Category"/>
    <x:tableColumn id="6" name="Ordered_Units"/>
    <x:tableColumn id="7" name="Delivered_Units"/>
    <x:tableColumn id="8" name="Forecast_Units"/>
    <x:tableColumn id="9" name="Planned_Days"/>
    <x:tableColumn id="10" name="Actual_Days"/>
    <x:tableColumn id="11" name="On_Time"/>
    <x:tableColumn id="12" name="Fill_Rate"/>
    <x:tableColumn id="13" name="Absolute_Forecast_Error"/>
    <x:tableColumn id="14" name="Freight_Co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Table" displayName="InventoryTable" ref="A1:M81" headerRowCount="1" totalsRowCount="0" totalsRowShown="0">
  <x:tableColumns count="13">
    <x:tableColumn id="1" name="SKU"/>
    <x:tableColumn id="2" name="Category"/>
    <x:tableColumn id="3" name="Region"/>
    <x:tableColumn id="4" name="Supplier"/>
    <x:tableColumn id="5" name="On_Hand_Units"/>
    <x:tableColumn id="6" name="Avg_Daily_Demand"/>
    <x:tableColumn id="7" name="Lead_Time_Days"/>
    <x:tableColumn id="8" name="Unit_Cost"/>
    <x:tableColumn id="9" name="Safety_Stock_Factor"/>
    <x:tableColumn id="10" name="Reorder_Point"/>
    <x:tableColumn id="11" name="Risk_Flag"/>
    <x:tableColumn id="12" name="Inventory_Value"/>
    <x:tableColumn id="13" name="At_Risk_Valu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SupplierScoreTable" displayName="SupplierScoreTable" ref="A1:G13" headerRowCount="1" totalsRowCount="0" totalsRowShown="0">
  <x:tableColumns count="7">
    <x:tableColumn id="1" name="Supplier"/>
    <x:tableColumn id="2" name="Shipments"/>
    <x:tableColumn id="3" name="On-Time %"/>
    <x:tableColumn id="4" name="Fill Rate"/>
    <x:tableColumn id="5" name="Forecast Accuracy"/>
    <x:tableColumn id="6" name="Avg Freight Cost"/>
    <x:tableColumn id="7" name="Composite 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753254d4a346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c0c60812454f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fbb4eb15e645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eeac52e89840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3" hidden="0" customWidth="1"/>
  </x:cols>
  <x:sheetData>
    <x:row r="1">
      <x:c r="A1" s="13" t="str">
        <x:v>Advanced Supply Chain &amp; Inventory Analytics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3">
      <x:c r="A3" s="15" t="str">
        <x:v>Forecasting, supplier performance, delivery reliability, inventory risk, and scenario analysis | Synthetic portfolio data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</x:row>
    <x:row r="4">
      <x:c r="A4" s="10"/>
      <x:c r="B4" s="10" t="str">
        <x:v>Region</x:v>
      </x:c>
      <x:c r="C4" s="10"/>
      <x:c r="D4" s="19" t="str">
        <x:v>All</x:v>
      </x:c>
      <x:c r="E4" s="19"/>
      <x:c r="F4" s="24" t="n">
        <x:v>1.1</x:v>
      </x:c>
      <x:c r="G4" s="24"/>
      <x:c r="H4" s="25" t="str">
        <x:v>Safety-stock scenario factor</x:v>
      </x:c>
      <x:c r="I4" s="25"/>
      <x:c r="J4" s="25"/>
      <x:c r="K4" s="28" t="str">
        <x:f>"Scenario: "&amp;TEXT(F4,"0.00x")&amp;" | Region: "&amp;D4</x:f>
        <x:v>Scenario: 1.10x | Region: All</x:v>
      </x:c>
      <x:c r="L4" s="28"/>
      <x:c r="M4" s="28"/>
      <x:c r="N4" s="28"/>
      <x:c r="O4" s="28"/>
      <x:c r="P4" s="28"/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</x:row>
    <x:row r="6">
      <x:c r="A6" s="10"/>
      <x:c r="B6" s="57" t="str">
        <x:f>"SHIPMENTS
"&amp;TEXT(IF($D$4="All",COUNTA('Shipment Data'!$A$2:$A$241),COUNTIF('Shipment Data'!$C$2:$C$241,$D$4)),"#,##0")</x:f>
        <x:v>SHIPMENTS
240</x:v>
      </x:c>
      <x:c r="C6" s="58"/>
      <x:c r="D6" s="59"/>
      <x:c r="E6" s="94" t="str">
        <x:f>"ON-TIME DELIVERY
"&amp;TEXT(IF($D$4="All",COUNTIF('Shipment Data'!$K$2:$K$241,"Yes")/COUNTA('Shipment Data'!$A$2:$A$241),COUNTIFS('Shipment Data'!$C$2:$C$241,$D$4,'Shipment Data'!$K$2:$K$241,"Yes")/COUNTIF('Shipment Data'!$C$2:$C$241,$D$4)),"0.0%")</x:f>
        <x:v>ON-TIME DELIVERY
42.9%</x:v>
      </x:c>
      <x:c r="F6" s="95"/>
      <x:c r="G6" s="96"/>
      <x:c r="H6" s="131" t="str">
        <x:f>"FILL RATE
"&amp;TEXT(IF($D$4="All",SUM('Shipment Data'!$G$2:$G$241)/SUM('Shipment Data'!$F$2:$F$241),SUMIF('Shipment Data'!$C$2:$C$241,$D$4,'Shipment Data'!$G$2:$G$241)/SUMIF('Shipment Data'!$C$2:$C$241,$D$4,'Shipment Data'!$F$2:$F$241)),"0.0%")</x:f>
        <x:v>FILL RATE
91.9%</x:v>
      </x:c>
      <x:c r="I6" s="132"/>
      <x:c r="J6" s="133"/>
      <x:c r="K6" s="168" t="str">
        <x:f>"FORECAST ACCURACY
"&amp;TEXT(IF($D$4="All",1-SUM('Shipment Data'!$M$2:$M$241)/SUM('Shipment Data'!$G$2:$G$241),1-SUMIF('Shipment Data'!$C$2:$C$241,$D$4,'Shipment Data'!$M$2:$M$241)/SUMIF('Shipment Data'!$C$2:$C$241,$D$4,'Shipment Data'!$G$2:$G$241)),"0.0%")</x:f>
        <x:v>FORECAST ACCURACY
86.2%</x:v>
      </x:c>
      <x:c r="L6" s="169"/>
      <x:c r="M6" s="170"/>
      <x:c r="N6" s="197" t="str">
        <x:f>"INVENTORY AT RISK
"&amp;TEXT(IF($D$4="All",SUM('Inventory Data'!$M$2:$M$81),SUMIF('Inventory Data'!$C$2:$C$81,$D$4,'Inventory Data'!$M$2:$M$81)),"$#,##0")</x:f>
        <x:v>INVENTORY AT RISK
$2,841,105</x:v>
      </x:c>
      <x:c r="O6" s="198"/>
      <x:c r="P6" s="10"/>
    </x:row>
    <x:row r="7">
      <x:c r="A7" s="10"/>
      <x:c r="B7" s="60"/>
      <x:c r="C7" s="61"/>
      <x:c r="D7" s="62"/>
      <x:c r="E7" s="97"/>
      <x:c r="F7" s="98"/>
      <x:c r="G7" s="99"/>
      <x:c r="H7" s="134"/>
      <x:c r="I7" s="135"/>
      <x:c r="J7" s="136"/>
      <x:c r="K7" s="171"/>
      <x:c r="L7" s="172"/>
      <x:c r="M7" s="173"/>
      <x:c r="N7" s="199"/>
      <x:c r="O7" s="200"/>
      <x:c r="P7" s="10"/>
    </x:row>
    <x:row r="8">
      <x:c r="A8" s="10"/>
      <x:c r="B8" s="60"/>
      <x:c r="C8" s="61"/>
      <x:c r="D8" s="62"/>
      <x:c r="E8" s="97"/>
      <x:c r="F8" s="98"/>
      <x:c r="G8" s="99"/>
      <x:c r="H8" s="134"/>
      <x:c r="I8" s="135"/>
      <x:c r="J8" s="136"/>
      <x:c r="K8" s="171"/>
      <x:c r="L8" s="172"/>
      <x:c r="M8" s="173"/>
      <x:c r="N8" s="199"/>
      <x:c r="O8" s="200"/>
      <x:c r="P8" s="10"/>
    </x:row>
    <x:row r="9">
      <x:c r="A9" s="10"/>
      <x:c r="B9" s="63"/>
      <x:c r="C9" s="64"/>
      <x:c r="D9" s="65"/>
      <x:c r="E9" s="100"/>
      <x:c r="F9" s="101"/>
      <x:c r="G9" s="102"/>
      <x:c r="H9" s="137"/>
      <x:c r="I9" s="138"/>
      <x:c r="J9" s="139"/>
      <x:c r="K9" s="174"/>
      <x:c r="L9" s="175"/>
      <x:c r="M9" s="176"/>
      <x:c r="N9" s="201"/>
      <x:c r="O9" s="202"/>
      <x:c r="P9" s="10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</x:row>
    <x:row r="11">
      <x:c r="A11" s="10"/>
      <x:c r="B11" s="203" t="str">
        <x:v>Demand vs Forecast by Month</x:v>
      </x:c>
      <x:c r="C11" s="203"/>
      <x:c r="D11" s="203"/>
      <x:c r="E11" s="203"/>
      <x:c r="F11" s="203"/>
      <x:c r="G11" s="203"/>
      <x:c r="H11" s="203" t="str">
        <x:v>Supplier Composite Score</x:v>
      </x:c>
      <x:c r="I11" s="203"/>
      <x:c r="J11" s="203"/>
      <x:c r="K11" s="203"/>
      <x:c r="L11" s="203" t="str">
        <x:v>Inventory Risk by Category</x:v>
      </x:c>
      <x:c r="M11" s="203"/>
      <x:c r="N11" s="203"/>
      <x:c r="O11" s="203"/>
      <x:c r="P11" s="10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</x:row>
    <x:row r="27">
      <x:c r="A27" s="10"/>
      <x:c r="B27" s="204" t="str">
        <x:v>Top Inventory Exceptions — Prioritize Immediate Review</x:v>
      </x:c>
      <x:c r="C27" s="204"/>
      <x:c r="D27" s="204"/>
      <x:c r="E27" s="204"/>
      <x:c r="F27" s="204"/>
      <x:c r="G27" s="204"/>
      <x:c r="H27" s="204"/>
      <x:c r="I27" s="10"/>
      <x:c r="J27" s="10"/>
      <x:c r="K27" s="10"/>
      <x:c r="L27" s="10"/>
      <x:c r="M27" s="10"/>
      <x:c r="N27" s="10"/>
      <x:c r="O27" s="10"/>
      <x:c r="P27" s="10"/>
    </x:row>
    <x:row r="28">
      <x:c r="A28" s="10"/>
      <x:c r="B28" s="207" t="str">
        <x:v>Rank</x:v>
      </x:c>
      <x:c r="C28" s="208" t="str">
        <x:v>SKU</x:v>
      </x:c>
      <x:c r="D28" s="208" t="str">
        <x:v>Category</x:v>
      </x:c>
      <x:c r="E28" s="208" t="str">
        <x:v>Supplier</x:v>
      </x:c>
      <x:c r="F28" s="209" t="str">
        <x:v>At-Risk Value</x:v>
      </x:c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</x:row>
    <x:row r="29">
      <x:c r="A29" s="10"/>
      <x:c r="B29" s="210" t="n">
        <x:v>1</x:v>
      </x:c>
      <x:c r="C29" s="211" t="str">
        <x:f>INDEX('Inventory Data'!$A$2:$A$81,MATCH(F29,'Inventory Data'!$M$2:$M$81,0))</x:f>
        <x:v>SKU-7016</x:v>
      </x:c>
      <x:c r="D29" s="211" t="str">
        <x:f>INDEX('Inventory Data'!$B$2:$B$81,MATCH(F29,'Inventory Data'!$M$2:$M$81,0))</x:f>
        <x:v>Electronics</x:v>
      </x:c>
      <x:c r="E29" s="211" t="str">
        <x:f>INDEX('Inventory Data'!$D$2:$D$81,MATCH(F29,'Inventory Data'!$M$2:$M$81,0))</x:f>
        <x:v>Supplier J</x:v>
      </x:c>
      <x:c r="F29" s="212" t="n">
        <x:f>LARGE('Inventory Data'!$M$2:$M$81,B29)</x:f>
        <x:v>310305</x:v>
      </x:c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</x:row>
    <x:row r="30">
      <x:c r="A30" s="10"/>
      <x:c r="B30" s="210" t="n">
        <x:v>2</x:v>
      </x:c>
      <x:c r="C30" s="211" t="str">
        <x:f>INDEX('Inventory Data'!$A$2:$A$81,MATCH(F30,'Inventory Data'!$M$2:$M$81,0))</x:f>
        <x:v>SKU-7032</x:v>
      </x:c>
      <x:c r="D30" s="211" t="str">
        <x:f>INDEX('Inventory Data'!$B$2:$B$81,MATCH(F30,'Inventory Data'!$M$2:$M$81,0))</x:f>
        <x:v>Industrial</x:v>
      </x:c>
      <x:c r="E30" s="211" t="str">
        <x:f>INDEX('Inventory Data'!$D$2:$D$81,MATCH(F30,'Inventory Data'!$M$2:$M$81,0))</x:f>
        <x:v>Supplier B</x:v>
      </x:c>
      <x:c r="F30" s="212" t="n">
        <x:f>LARGE('Inventory Data'!$M$2:$M$81,B30)</x:f>
        <x:v>293851</x:v>
      </x:c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</x:row>
    <x:row r="31">
      <x:c r="A31" s="10"/>
      <x:c r="B31" s="210" t="n">
        <x:v>3</x:v>
      </x:c>
      <x:c r="C31" s="211" t="str">
        <x:f>INDEX('Inventory Data'!$A$2:$A$81,MATCH(F31,'Inventory Data'!$M$2:$M$81,0))</x:f>
        <x:v>SKU-7048</x:v>
      </x:c>
      <x:c r="D31" s="211" t="str">
        <x:f>INDEX('Inventory Data'!$B$2:$B$81,MATCH(F31,'Inventory Data'!$M$2:$M$81,0))</x:f>
        <x:v>Medical</x:v>
      </x:c>
      <x:c r="E31" s="211" t="str">
        <x:f>INDEX('Inventory Data'!$D$2:$D$81,MATCH(F31,'Inventory Data'!$M$2:$M$81,0))</x:f>
        <x:v>Supplier F</x:v>
      </x:c>
      <x:c r="F31" s="212" t="n">
        <x:f>LARGE('Inventory Data'!$M$2:$M$81,B31)</x:f>
        <x:v>277061</x:v>
      </x:c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</x:row>
    <x:row r="32">
      <x:c r="A32" s="10"/>
      <x:c r="B32" s="210" t="n">
        <x:v>4</x:v>
      </x:c>
      <x:c r="C32" s="211" t="str">
        <x:f>INDEX('Inventory Data'!$A$2:$A$81,MATCH(F32,'Inventory Data'!$M$2:$M$81,0))</x:f>
        <x:v>SKU-7064</x:v>
      </x:c>
      <x:c r="D32" s="211" t="str">
        <x:f>INDEX('Inventory Data'!$B$2:$B$81,MATCH(F32,'Inventory Data'!$M$2:$M$81,0))</x:f>
        <x:v>Consumer</x:v>
      </x:c>
      <x:c r="E32" s="211" t="str">
        <x:f>INDEX('Inventory Data'!$D$2:$D$81,MATCH(F32,'Inventory Data'!$M$2:$M$81,0))</x:f>
        <x:v>Supplier J</x:v>
      </x:c>
      <x:c r="F32" s="212" t="n">
        <x:f>LARGE('Inventory Data'!$M$2:$M$81,B32)</x:f>
        <x:v>259935</x:v>
      </x:c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</x:row>
    <x:row r="33">
      <x:c r="A33" s="10"/>
      <x:c r="B33" s="213" t="n">
        <x:v>5</x:v>
      </x:c>
      <x:c r="C33" s="214" t="str">
        <x:f>INDEX('Inventory Data'!$A$2:$A$81,MATCH(F33,'Inventory Data'!$M$2:$M$81,0))</x:f>
        <x:v>SKU-7028</x:v>
      </x:c>
      <x:c r="D33" s="214" t="str">
        <x:f>INDEX('Inventory Data'!$B$2:$B$81,MATCH(F33,'Inventory Data'!$M$2:$M$81,0))</x:f>
        <x:v>Medical</x:v>
      </x:c>
      <x:c r="E33" s="214" t="str">
        <x:f>INDEX('Inventory Data'!$D$2:$D$81,MATCH(F33,'Inventory Data'!$M$2:$M$81,0))</x:f>
        <x:v>Supplier J</x:v>
      </x:c>
      <x:c r="F33" s="215" t="n">
        <x:f>LARGE('Inventory Data'!$M$2:$M$81,B33)</x:f>
        <x:v>160611</x:v>
      </x:c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</x:row>
    <x:row r="50">
      <x:c r="B50" t="str">
        <x:v>Month</x:v>
      </x:c>
      <x:c r="C50" t="str">
        <x:v>Actual Units</x:v>
      </x:c>
      <x:c r="D50" t="str">
        <x:v>Forecast Units</x:v>
      </x:c>
      <x:c r="H50" t="str">
        <x:v>Supplier</x:v>
      </x:c>
      <x:c r="I50" t="str">
        <x:v>Score</x:v>
      </x:c>
      <x:c r="L50" t="str">
        <x:v>Category</x:v>
      </x:c>
      <x:c r="M50" t="str">
        <x:v>At-Risk Value</x:v>
      </x:c>
    </x:row>
    <x:row r="51">
      <x:c r="B51" t="str">
        <x:v>Jan</x:v>
      </x:c>
      <x:c r="C51" t="n">
        <x:f>IF($D$4="All",SUMIFS('Shipment Data'!$G$2:$G$241,'Shipment Data'!$B$2:$B$241,"&gt;="&amp;DATE(2025,1,1),'Shipment Data'!$B$2:$B$241,"&lt;"&amp;EDATE(DATE(2025,1,1),1)),SUMIFS('Shipment Data'!$G$2:$G$241,'Shipment Data'!$C$2:$C$241,$D$4,'Shipment Data'!$B$2:$B$241,"&gt;="&amp;DATE(2025,1,1),'Shipment Data'!$B$2:$B$241,"&lt;"&amp;EDATE(DATE(2025,1,1),1)))</x:f>
        <x:v>4960</x:v>
      </x:c>
      <x:c r="D51" t="n">
        <x:f>IF($D$4="All",SUMIFS('Shipment Data'!$H$2:$H$241,'Shipment Data'!$B$2:$B$241,"&gt;="&amp;DATE(2025,1,1),'Shipment Data'!$B$2:$B$241,"&lt;"&amp;EDATE(DATE(2025,1,1),1)),SUMIFS('Shipment Data'!$H$2:$H$241,'Shipment Data'!$C$2:$C$241,$D$4,'Shipment Data'!$B$2:$B$241,"&gt;="&amp;DATE(2025,1,1),'Shipment Data'!$B$2:$B$241,"&lt;"&amp;EDATE(DATE(2025,1,1),1)))</x:f>
        <x:v>5338</x:v>
      </x:c>
      <x:c r="H51" t="str">
        <x:v>Supplier A</x:v>
      </x:c>
      <x:c r="I51" s="5" t="n">
        <x:f>'Supplier Scorecard'!G2</x:f>
        <x:v>0.6764444094106233</x:v>
      </x:c>
      <x:c r="L51" t="str">
        <x:v>Electronics</x:v>
      </x:c>
      <x:c r="M51" s="6" t="n">
        <x:f>IF($D$4="All",SUMIFS('Inventory Data'!$M$2:$M$81,'Inventory Data'!$B$2:$B$81,L51),SUMIFS('Inventory Data'!$M$2:$M$81,'Inventory Data'!$B$2:$B$81,L51,'Inventory Data'!$C$2:$C$81,$D$4))</x:f>
        <x:v>530010</x:v>
      </x:c>
    </x:row>
    <x:row r="52">
      <x:c r="B52" t="str">
        <x:v>Feb</x:v>
      </x:c>
      <x:c r="C52" t="n">
        <x:f>IF($D$4="All",SUMIFS('Shipment Data'!$G$2:$G$241,'Shipment Data'!$B$2:$B$241,"&gt;="&amp;DATE(2025,2,1),'Shipment Data'!$B$2:$B$241,"&lt;"&amp;EDATE(DATE(2025,2,1),1)),SUMIFS('Shipment Data'!$G$2:$G$241,'Shipment Data'!$C$2:$C$241,$D$4,'Shipment Data'!$B$2:$B$241,"&gt;="&amp;DATE(2025,2,1),'Shipment Data'!$B$2:$B$241,"&lt;"&amp;EDATE(DATE(2025,2,1),1)))</x:f>
        <x:v>4760</x:v>
      </x:c>
      <x:c r="D52" t="n">
        <x:f>IF($D$4="All",SUMIFS('Shipment Data'!$H$2:$H$241,'Shipment Data'!$B$2:$B$241,"&gt;="&amp;DATE(2025,2,1),'Shipment Data'!$B$2:$B$241,"&lt;"&amp;EDATE(DATE(2025,2,1),1)),SUMIFS('Shipment Data'!$H$2:$H$241,'Shipment Data'!$C$2:$C$241,$D$4,'Shipment Data'!$B$2:$B$241,"&gt;="&amp;DATE(2025,2,1),'Shipment Data'!$B$2:$B$241,"&lt;"&amp;EDATE(DATE(2025,2,1),1)))</x:f>
        <x:v>5220</x:v>
      </x:c>
      <x:c r="H52" t="str">
        <x:v>Supplier B</x:v>
      </x:c>
      <x:c r="I52" s="5" t="n">
        <x:f>'Supplier Scorecard'!G3</x:f>
        <x:v>0.6733828996680586</x:v>
      </x:c>
      <x:c r="L52" t="str">
        <x:v>Industrial</x:v>
      </x:c>
      <x:c r="M52" s="6" t="n">
        <x:f>IF($D$4="All",SUMIFS('Inventory Data'!$M$2:$M$81,'Inventory Data'!$B$2:$B$81,L52),SUMIFS('Inventory Data'!$M$2:$M$81,'Inventory Data'!$B$2:$B$81,L52,'Inventory Data'!$C$2:$C$81,$D$4))</x:f>
        <x:v>538583</x:v>
      </x:c>
    </x:row>
    <x:row r="53">
      <x:c r="B53" t="str">
        <x:v>Mar</x:v>
      </x:c>
      <x:c r="C53" t="n">
        <x:f>IF($D$4="All",SUMIFS('Shipment Data'!$G$2:$G$241,'Shipment Data'!$B$2:$B$241,"&gt;="&amp;DATE(2025,3,1),'Shipment Data'!$B$2:$B$241,"&lt;"&amp;EDATE(DATE(2025,3,1),1)),SUMIFS('Shipment Data'!$G$2:$G$241,'Shipment Data'!$C$2:$C$241,$D$4,'Shipment Data'!$B$2:$B$241,"&gt;="&amp;DATE(2025,3,1),'Shipment Data'!$B$2:$B$241,"&lt;"&amp;EDATE(DATE(2025,3,1),1)))</x:f>
        <x:v>4980</x:v>
      </x:c>
      <x:c r="D53" t="n">
        <x:f>IF($D$4="All",SUMIFS('Shipment Data'!$H$2:$H$241,'Shipment Data'!$B$2:$B$241,"&gt;="&amp;DATE(2025,3,1),'Shipment Data'!$B$2:$B$241,"&lt;"&amp;EDATE(DATE(2025,3,1),1)),SUMIFS('Shipment Data'!$H$2:$H$241,'Shipment Data'!$C$2:$C$241,$D$4,'Shipment Data'!$B$2:$B$241,"&gt;="&amp;DATE(2025,3,1),'Shipment Data'!$B$2:$B$241,"&lt;"&amp;EDATE(DATE(2025,3,1),1)))</x:f>
        <x:v>5522</x:v>
      </x:c>
      <x:c r="H53" t="str">
        <x:v>Supplier C</x:v>
      </x:c>
      <x:c r="I53" s="5" t="n">
        <x:f>'Supplier Scorecard'!G4</x:f>
        <x:v>0.6864455097753076</x:v>
      </x:c>
      <x:c r="L53" t="str">
        <x:v>Medical</x:v>
      </x:c>
      <x:c r="M53" s="6" t="n">
        <x:f>IF($D$4="All",SUMIFS('Inventory Data'!$M$2:$M$81,'Inventory Data'!$B$2:$B$81,L53),SUMIFS('Inventory Data'!$M$2:$M$81,'Inventory Data'!$B$2:$B$81,L53,'Inventory Data'!$C$2:$C$81,$D$4))</x:f>
        <x:v>729380</x:v>
      </x:c>
    </x:row>
    <x:row r="54">
      <x:c r="B54" t="str">
        <x:v>Apr</x:v>
      </x:c>
      <x:c r="C54" t="n">
        <x:f>IF($D$4="All",SUMIFS('Shipment Data'!$G$2:$G$241,'Shipment Data'!$B$2:$B$241,"&gt;="&amp;DATE(2025,4,1),'Shipment Data'!$B$2:$B$241,"&lt;"&amp;EDATE(DATE(2025,4,1),1)),SUMIFS('Shipment Data'!$G$2:$G$241,'Shipment Data'!$C$2:$C$241,$D$4,'Shipment Data'!$B$2:$B$241,"&gt;="&amp;DATE(2025,4,1),'Shipment Data'!$B$2:$B$241,"&lt;"&amp;EDATE(DATE(2025,4,1),1)))</x:f>
        <x:v>5020</x:v>
      </x:c>
      <x:c r="D54" t="n">
        <x:f>IF($D$4="All",SUMIFS('Shipment Data'!$H$2:$H$241,'Shipment Data'!$B$2:$B$241,"&gt;="&amp;DATE(2025,4,1),'Shipment Data'!$B$2:$B$241,"&lt;"&amp;EDATE(DATE(2025,4,1),1)),SUMIFS('Shipment Data'!$H$2:$H$241,'Shipment Data'!$C$2:$C$241,$D$4,'Shipment Data'!$B$2:$B$241,"&gt;="&amp;DATE(2025,4,1),'Shipment Data'!$B$2:$B$241,"&lt;"&amp;EDATE(DATE(2025,4,1),1)))</x:f>
        <x:v>5404</x:v>
      </x:c>
      <x:c r="H54" t="str">
        <x:v>Supplier D</x:v>
      </x:c>
      <x:c r="I54" s="5" t="n">
        <x:f>'Supplier Scorecard'!G5</x:f>
        <x:v>0.6516415553472386</x:v>
      </x:c>
      <x:c r="L54" t="str">
        <x:v>Consumer</x:v>
      </x:c>
      <x:c r="M54" s="6" t="n">
        <x:f>IF($D$4="All",SUMIFS('Inventory Data'!$M$2:$M$81,'Inventory Data'!$B$2:$B$81,L54),SUMIFS('Inventory Data'!$M$2:$M$81,'Inventory Data'!$B$2:$B$81,L54,'Inventory Data'!$C$2:$C$81,$D$4))</x:f>
        <x:v>682655</x:v>
      </x:c>
    </x:row>
    <x:row r="55">
      <x:c r="B55" t="str">
        <x:v>May</x:v>
      </x:c>
      <x:c r="C55" t="n">
        <x:f>IF($D$4="All",SUMIFS('Shipment Data'!$G$2:$G$241,'Shipment Data'!$B$2:$B$241,"&gt;="&amp;DATE(2025,5,1),'Shipment Data'!$B$2:$B$241,"&lt;"&amp;EDATE(DATE(2025,5,1),1)),SUMIFS('Shipment Data'!$G$2:$G$241,'Shipment Data'!$C$2:$C$241,$D$4,'Shipment Data'!$B$2:$B$241,"&gt;="&amp;DATE(2025,5,1),'Shipment Data'!$B$2:$B$241,"&lt;"&amp;EDATE(DATE(2025,5,1),1)))</x:f>
        <x:v>5240</x:v>
      </x:c>
      <x:c r="D55" t="n">
        <x:f>IF($D$4="All",SUMIFS('Shipment Data'!$H$2:$H$241,'Shipment Data'!$B$2:$B$241,"&gt;="&amp;DATE(2025,5,1),'Shipment Data'!$B$2:$B$241,"&lt;"&amp;EDATE(DATE(2025,5,1),1)),SUMIFS('Shipment Data'!$H$2:$H$241,'Shipment Data'!$C$2:$C$241,$D$4,'Shipment Data'!$B$2:$B$241,"&gt;="&amp;DATE(2025,5,1),'Shipment Data'!$B$2:$B$241,"&lt;"&amp;EDATE(DATE(2025,5,1),1)))</x:f>
        <x:v>5706</x:v>
      </x:c>
      <x:c r="H55" t="str">
        <x:v>Supplier E</x:v>
      </x:c>
      <x:c r="I55" s="5" t="n">
        <x:f>'Supplier Scorecard'!G6</x:f>
        <x:v>0.6624263440860215</x:v>
      </x:c>
      <x:c r="L55" t="str">
        <x:v>Network</x:v>
      </x:c>
      <x:c r="M55" s="6" t="n">
        <x:f>IF($D$4="All",SUMIFS('Inventory Data'!$M$2:$M$81,'Inventory Data'!$B$2:$B$81,L55),SUMIFS('Inventory Data'!$M$2:$M$81,'Inventory Data'!$B$2:$B$81,L55,'Inventory Data'!$C$2:$C$81,$D$4))</x:f>
        <x:v>360477</x:v>
      </x:c>
    </x:row>
    <x:row r="56">
      <x:c r="B56" t="str">
        <x:v>Jun</x:v>
      </x:c>
      <x:c r="C56" t="n">
        <x:f>IF($D$4="All",SUMIFS('Shipment Data'!$G$2:$G$241,'Shipment Data'!$B$2:$B$241,"&gt;="&amp;DATE(2025,6,1),'Shipment Data'!$B$2:$B$241,"&lt;"&amp;EDATE(DATE(2025,6,1),1)),SUMIFS('Shipment Data'!$G$2:$G$241,'Shipment Data'!$C$2:$C$241,$D$4,'Shipment Data'!$B$2:$B$241,"&gt;="&amp;DATE(2025,6,1),'Shipment Data'!$B$2:$B$241,"&lt;"&amp;EDATE(DATE(2025,6,1),1)))</x:f>
        <x:v>5280</x:v>
      </x:c>
      <x:c r="D56" t="n">
        <x:f>IF($D$4="All",SUMIFS('Shipment Data'!$H$2:$H$241,'Shipment Data'!$B$2:$B$241,"&gt;="&amp;DATE(2025,6,1),'Shipment Data'!$B$2:$B$241,"&lt;"&amp;EDATE(DATE(2025,6,1),1)),SUMIFS('Shipment Data'!$H$2:$H$241,'Shipment Data'!$C$2:$C$241,$D$4,'Shipment Data'!$B$2:$B$241,"&gt;="&amp;DATE(2025,6,1),'Shipment Data'!$B$2:$B$241,"&lt;"&amp;EDATE(DATE(2025,6,1),1)))</x:f>
        <x:v>5714</x:v>
      </x:c>
      <x:c r="H56" t="str">
        <x:v>Supplier F</x:v>
      </x:c>
      <x:c r="I56" s="5" t="n">
        <x:f>'Supplier Scorecard'!G7</x:f>
        <x:v>0.6457887085868831</x:v>
      </x:c>
    </x:row>
    <x:row r="57">
      <x:c r="B57" t="str">
        <x:v>Jul</x:v>
      </x:c>
      <x:c r="C57" t="n">
        <x:f>IF($D$4="All",SUMIFS('Shipment Data'!$G$2:$G$241,'Shipment Data'!$B$2:$B$241,"&gt;="&amp;DATE(2025,7,1),'Shipment Data'!$B$2:$B$241,"&lt;"&amp;EDATE(DATE(2025,7,1),1)),SUMIFS('Shipment Data'!$G$2:$G$241,'Shipment Data'!$C$2:$C$241,$D$4,'Shipment Data'!$B$2:$B$241,"&gt;="&amp;DATE(2025,7,1),'Shipment Data'!$B$2:$B$241,"&lt;"&amp;EDATE(DATE(2025,7,1),1)))</x:f>
        <x:v>5500</x:v>
      </x:c>
      <x:c r="D57" t="n">
        <x:f>IF($D$4="All",SUMIFS('Shipment Data'!$H$2:$H$241,'Shipment Data'!$B$2:$B$241,"&gt;="&amp;DATE(2025,7,1),'Shipment Data'!$B$2:$B$241,"&lt;"&amp;EDATE(DATE(2025,7,1),1)),SUMIFS('Shipment Data'!$H$2:$H$241,'Shipment Data'!$C$2:$C$241,$D$4,'Shipment Data'!$B$2:$B$241,"&gt;="&amp;DATE(2025,7,1),'Shipment Data'!$B$2:$B$241,"&lt;"&amp;EDATE(DATE(2025,7,1),1)))</x:f>
        <x:v>6016</x:v>
      </x:c>
      <x:c r="H57" t="str">
        <x:v>Supplier G</x:v>
      </x:c>
      <x:c r="I57" s="5" t="n">
        <x:f>'Supplier Scorecard'!G8</x:f>
        <x:v>0.6736348839566231</x:v>
      </x:c>
    </x:row>
    <x:row r="58">
      <x:c r="B58" t="str">
        <x:v>Aug</x:v>
      </x:c>
      <x:c r="C58" t="n">
        <x:f>IF($D$4="All",SUMIFS('Shipment Data'!$G$2:$G$241,'Shipment Data'!$B$2:$B$241,"&gt;="&amp;DATE(2025,8,1),'Shipment Data'!$B$2:$B$241,"&lt;"&amp;EDATE(DATE(2025,8,1),1)),SUMIFS('Shipment Data'!$G$2:$G$241,'Shipment Data'!$C$2:$C$241,$D$4,'Shipment Data'!$B$2:$B$241,"&gt;="&amp;DATE(2025,8,1),'Shipment Data'!$B$2:$B$241,"&lt;"&amp;EDATE(DATE(2025,8,1),1)))</x:f>
        <x:v>5300</x:v>
      </x:c>
      <x:c r="D58" t="n">
        <x:f>IF($D$4="All",SUMIFS('Shipment Data'!$H$2:$H$241,'Shipment Data'!$B$2:$B$241,"&gt;="&amp;DATE(2025,8,1),'Shipment Data'!$B$2:$B$241,"&lt;"&amp;EDATE(DATE(2025,8,1),1)),SUMIFS('Shipment Data'!$H$2:$H$241,'Shipment Data'!$C$2:$C$241,$D$4,'Shipment Data'!$B$2:$B$241,"&gt;="&amp;DATE(2025,8,1),'Shipment Data'!$B$2:$B$241,"&lt;"&amp;EDATE(DATE(2025,8,1),1)))</x:f>
        <x:v>5898</x:v>
      </x:c>
      <x:c r="H58" t="str">
        <x:v>Supplier H</x:v>
      </x:c>
      <x:c r="I58" s="5" t="n">
        <x:f>'Supplier Scorecard'!G9</x:f>
        <x:v>0.6713355304456999</x:v>
      </x:c>
    </x:row>
    <x:row r="59">
      <x:c r="B59" t="str">
        <x:v>Sep</x:v>
      </x:c>
      <x:c r="C59" t="n">
        <x:f>IF($D$4="All",SUMIFS('Shipment Data'!$G$2:$G$241,'Shipment Data'!$B$2:$B$241,"&gt;="&amp;DATE(2025,9,1),'Shipment Data'!$B$2:$B$241,"&lt;"&amp;EDATE(DATE(2025,9,1),1)),SUMIFS('Shipment Data'!$G$2:$G$241,'Shipment Data'!$C$2:$C$241,$D$4,'Shipment Data'!$B$2:$B$241,"&gt;="&amp;DATE(2025,9,1),'Shipment Data'!$B$2:$B$241,"&lt;"&amp;EDATE(DATE(2025,9,1),1)))</x:f>
        <x:v>5760</x:v>
      </x:c>
      <x:c r="D59" t="n">
        <x:f>IF($D$4="All",SUMIFS('Shipment Data'!$H$2:$H$241,'Shipment Data'!$B$2:$B$241,"&gt;="&amp;DATE(2025,9,1),'Shipment Data'!$B$2:$B$241,"&lt;"&amp;EDATE(DATE(2025,9,1),1)),SUMIFS('Shipment Data'!$H$2:$H$241,'Shipment Data'!$C$2:$C$241,$D$4,'Shipment Data'!$B$2:$B$241,"&gt;="&amp;DATE(2025,9,1),'Shipment Data'!$B$2:$B$241,"&lt;"&amp;EDATE(DATE(2025,9,1),1)))</x:f>
        <x:v>6200</x:v>
      </x:c>
      <x:c r="H59" t="str">
        <x:v>Supplier I</x:v>
      </x:c>
      <x:c r="I59" s="5" t="n">
        <x:f>'Supplier Scorecard'!G10</x:f>
        <x:v>0.6711980916030534</x:v>
      </x:c>
    </x:row>
    <x:row r="60">
      <x:c r="B60" t="str">
        <x:v>Oct</x:v>
      </x:c>
      <x:c r="C60" t="n">
        <x:f>IF($D$4="All",SUMIFS('Shipment Data'!$G$2:$G$241,'Shipment Data'!$B$2:$B$241,"&gt;="&amp;DATE(2025,10,1),'Shipment Data'!$B$2:$B$241,"&lt;"&amp;EDATE(DATE(2025,10,1),1)),SUMIFS('Shipment Data'!$G$2:$G$241,'Shipment Data'!$C$2:$C$241,$D$4,'Shipment Data'!$B$2:$B$241,"&gt;="&amp;DATE(2025,10,1),'Shipment Data'!$B$2:$B$241,"&lt;"&amp;EDATE(DATE(2025,10,1),1)))</x:f>
        <x:v>5560</x:v>
      </x:c>
      <x:c r="D60" t="n">
        <x:f>IF($D$4="All",SUMIFS('Shipment Data'!$H$2:$H$241,'Shipment Data'!$B$2:$B$241,"&gt;="&amp;DATE(2025,10,1),'Shipment Data'!$B$2:$B$241,"&lt;"&amp;EDATE(DATE(2025,10,1),1)),SUMIFS('Shipment Data'!$H$2:$H$241,'Shipment Data'!$C$2:$C$241,$D$4,'Shipment Data'!$B$2:$B$241,"&gt;="&amp;DATE(2025,10,1),'Shipment Data'!$B$2:$B$241,"&lt;"&amp;EDATE(DATE(2025,10,1),1)))</x:f>
        <x:v>6082</x:v>
      </x:c>
      <x:c r="H60" t="str">
        <x:v>Supplier J</x:v>
      </x:c>
      <x:c r="I60" s="5" t="n">
        <x:f>'Supplier Scorecard'!G11</x:f>
        <x:v>0.6703008963321146</x:v>
      </x:c>
    </x:row>
    <x:row r="61">
      <x:c r="B61" t="str">
        <x:v>Nov</x:v>
      </x:c>
      <x:c r="C61" t="n">
        <x:f>IF($D$4="All",SUMIFS('Shipment Data'!$G$2:$G$241,'Shipment Data'!$B$2:$B$241,"&gt;="&amp;DATE(2025,11,1),'Shipment Data'!$B$2:$B$241,"&lt;"&amp;EDATE(DATE(2025,11,1),1)),SUMIFS('Shipment Data'!$G$2:$G$241,'Shipment Data'!$C$2:$C$241,$D$4,'Shipment Data'!$B$2:$B$241,"&gt;="&amp;DATE(2025,11,1),'Shipment Data'!$B$2:$B$241,"&lt;"&amp;EDATE(DATE(2025,11,1),1)))</x:f>
        <x:v>6020</x:v>
      </x:c>
      <x:c r="D61" t="n">
        <x:f>IF($D$4="All",SUMIFS('Shipment Data'!$H$2:$H$241,'Shipment Data'!$B$2:$B$241,"&gt;="&amp;DATE(2025,11,1),'Shipment Data'!$B$2:$B$241,"&lt;"&amp;EDATE(DATE(2025,11,1),1)),SUMIFS('Shipment Data'!$H$2:$H$241,'Shipment Data'!$C$2:$C$241,$D$4,'Shipment Data'!$B$2:$B$241,"&gt;="&amp;DATE(2025,11,1),'Shipment Data'!$B$2:$B$241,"&lt;"&amp;EDATE(DATE(2025,11,1),1)))</x:f>
        <x:v>6384</x:v>
      </x:c>
      <x:c r="H61" t="str">
        <x:v>Supplier K</x:v>
      </x:c>
      <x:c r="I61" s="5" t="n">
        <x:f>'Supplier Scorecard'!G12</x:f>
        <x:v>0.6414726806141534</x:v>
      </x:c>
    </x:row>
    <x:row r="62">
      <x:c r="B62" t="str">
        <x:v>Dec</x:v>
      </x:c>
      <x:c r="C62" t="n">
        <x:f>IF($D$4="All",SUMIFS('Shipment Data'!$G$2:$G$241,'Shipment Data'!$B$2:$B$241,"&gt;="&amp;DATE(2025,12,1),'Shipment Data'!$B$2:$B$241,"&lt;"&amp;EDATE(DATE(2025,12,1),1)),SUMIFS('Shipment Data'!$G$2:$G$241,'Shipment Data'!$C$2:$C$241,$D$4,'Shipment Data'!$B$2:$B$241,"&gt;="&amp;DATE(2025,12,1),'Shipment Data'!$B$2:$B$241,"&lt;"&amp;EDATE(DATE(2025,12,1),1)))</x:f>
        <x:v>5400</x:v>
      </x:c>
      <x:c r="D62" t="n">
        <x:f>IF($D$4="All",SUMIFS('Shipment Data'!$H$2:$H$241,'Shipment Data'!$B$2:$B$241,"&gt;="&amp;DATE(2025,12,1),'Shipment Data'!$B$2:$B$241,"&lt;"&amp;EDATE(DATE(2025,12,1),1)),SUMIFS('Shipment Data'!$H$2:$H$241,'Shipment Data'!$C$2:$C$241,$D$4,'Shipment Data'!$B$2:$B$241,"&gt;="&amp;DATE(2025,12,1),'Shipment Data'!$B$2:$B$241,"&lt;"&amp;EDATE(DATE(2025,12,1),1)))</x:f>
        <x:v>5846</x:v>
      </x:c>
      <x:c r="H62" t="str">
        <x:v>Supplier L</x:v>
      </x:c>
      <x:c r="I62" s="5" t="n">
        <x:f>'Supplier Scorecard'!G13</x:f>
        <x:v>0.6413333204980105</x:v>
      </x:c>
    </x:row>
  </x:sheetData>
  <x:mergeCells>
    <x:mergeCell ref="A1:P2"/>
    <x:mergeCell ref="A3:P3"/>
    <x:mergeCell ref="B4:C4"/>
    <x:mergeCell ref="D4:E4"/>
    <x:mergeCell ref="F4:G4"/>
    <x:mergeCell ref="H4:J4"/>
    <x:mergeCell ref="K4:P4"/>
    <x:mergeCell ref="B6:D9"/>
    <x:mergeCell ref="E6:G9"/>
    <x:mergeCell ref="H6:J9"/>
    <x:mergeCell ref="K6:M9"/>
    <x:mergeCell ref="N6:O9"/>
    <x:mergeCell ref="B11:G11"/>
    <x:mergeCell ref="H11:K11"/>
    <x:mergeCell ref="L11:O11"/>
    <x:mergeCell ref="B27:H27"/>
  </x:mergeCells>
  <x:dataValidations count="2">
    <x:dataValidation type="list" sqref="D4">
      <x:formula1>"All,West,East,Central,South"</x:formula1>
    </x:dataValidation>
    <x:dataValidation type="list" sqref="F4">
      <x:formula1>"1,1.1,1.2,1.3"</x:formula1>
    </x:dataValidation>
  </x:dataValidations>
  <x:pageMargins left="0.7" right="0.7" top="0.75" bottom="0.75" header="0.3" footer="0.3"/>
  <x:drawing xmlns:r="http://schemas.openxmlformats.org/officeDocument/2006/relationships" r:id="Rf0753254d4a3464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1" hidden="0" customWidth="1"/>
    <x:col min="4" max="4" width="13" hidden="0" customWidth="1"/>
    <x:col min="5" max="5" width="13" hidden="0" customWidth="1"/>
    <x:col min="6" max="6" width="14" hidden="0" customWidth="1"/>
    <x:col min="7" max="7" width="15" hidden="0" customWidth="1"/>
    <x:col min="8" max="8" width="14" hidden="0" customWidth="1"/>
    <x:col min="9" max="9" width="13" hidden="0" customWidth="1"/>
    <x:col min="10" max="10" width="12" hidden="0" customWidth="1"/>
    <x:col min="11" max="11" width="10" hidden="0" customWidth="1"/>
    <x:col min="12" max="12" width="11" hidden="0" customWidth="1"/>
    <x:col min="13" max="13" width="20" hidden="0" customWidth="1"/>
    <x:col min="14" max="14" width="14" hidden="0" customWidth="1"/>
  </x:cols>
  <x:sheetData>
    <x:row r="1">
      <x:c r="A1" s="3" t="str">
        <x:v>Shipment_ID</x:v>
      </x:c>
      <x:c r="B1" s="3" t="str">
        <x:v>Ship_Date</x:v>
      </x:c>
      <x:c r="C1" s="3" t="str">
        <x:v>Region</x:v>
      </x:c>
      <x:c r="D1" s="3" t="str">
        <x:v>Supplier</x:v>
      </x:c>
      <x:c r="E1" s="3" t="str">
        <x:v>Category</x:v>
      </x:c>
      <x:c r="F1" s="3" t="str">
        <x:v>Ordered_Units</x:v>
      </x:c>
      <x:c r="G1" s="3" t="str">
        <x:v>Delivered_Units</x:v>
      </x:c>
      <x:c r="H1" s="3" t="str">
        <x:v>Forecast_Units</x:v>
      </x:c>
      <x:c r="I1" s="3" t="str">
        <x:v>Planned_Days</x:v>
      </x:c>
      <x:c r="J1" s="3" t="str">
        <x:v>Actual_Days</x:v>
      </x:c>
      <x:c r="K1" s="3" t="str">
        <x:v>On_Time</x:v>
      </x:c>
      <x:c r="L1" s="3" t="str">
        <x:v>Fill_Rate</x:v>
      </x:c>
      <x:c r="M1" s="3" t="str">
        <x:v>Absolute_Forecast_Error</x:v>
      </x:c>
      <x:c r="N1" s="3" t="str">
        <x:v>Freight_Cost</x:v>
      </x:c>
    </x:row>
    <x:row r="2">
      <x:c r="A2" t="str">
        <x:v>SHP-5001</x:v>
      </x:c>
      <x:c r="B2" s="4" t="n">
        <x:v>45658</x:v>
      </x:c>
      <x:c r="C2" t="str">
        <x:v>West</x:v>
      </x:c>
      <x:c r="D2" t="str">
        <x:v>Supplier A</x:v>
      </x:c>
      <x:c r="E2" t="str">
        <x:v>Electronics</x:v>
      </x:c>
      <x:c r="F2" t="n">
        <x:v>80</x:v>
      </x:c>
      <x:c r="G2" t="n">
        <x:v>80</x:v>
      </x:c>
      <x:c r="H2" t="n">
        <x:v>26</x:v>
      </x:c>
      <x:c r="I2" t="n">
        <x:v>3</x:v>
      </x:c>
      <x:c r="J2" t="n">
        <x:v>1</x:v>
      </x:c>
      <x:c r="K2" t="str">
        <x:v>Yes</x:v>
      </x:c>
      <x:c r="L2" s="5" t="n">
        <x:v>1</x:v>
      </x:c>
      <x:c r="M2" t="n">
        <x:v>54</x:v>
      </x:c>
      <x:c r="N2" s="6" t="n">
        <x:v>420</x:v>
      </x:c>
    </x:row>
    <x:row r="3">
      <x:c r="A3" t="str">
        <x:v>SHP-5002</x:v>
      </x:c>
      <x:c r="B3" s="4" t="n">
        <x:v>45696</x:v>
      </x:c>
      <x:c r="C3" t="str">
        <x:v>South</x:v>
      </x:c>
      <x:c r="D3" t="str">
        <x:v>Supplier F</x:v>
      </x:c>
      <x:c r="E3" t="str">
        <x:v>Medical</x:v>
      </x:c>
      <x:c r="F3" t="n">
        <x:v>117</x:v>
      </x:c>
      <x:c r="G3" t="n">
        <x:v>100</x:v>
      </x:c>
      <x:c r="H3" t="n">
        <x:v>81</x:v>
      </x:c>
      <x:c r="I3" t="n">
        <x:v>4</x:v>
      </x:c>
      <x:c r="J3" t="n">
        <x:v>7</x:v>
      </x:c>
      <x:c r="K3" t="str">
        <x:v>No</x:v>
      </x:c>
      <x:c r="L3" s="5" t="n">
        <x:v>0.8547008547008547</x:v>
      </x:c>
      <x:c r="M3" t="n">
        <x:v>19</x:v>
      </x:c>
      <x:c r="N3" s="6" t="n">
        <x:v>503</x:v>
      </x:c>
    </x:row>
    <x:row r="4">
      <x:c r="A4" t="str">
        <x:v>SHP-5003</x:v>
      </x:c>
      <x:c r="B4" s="4" t="n">
        <x:v>45731</x:v>
      </x:c>
      <x:c r="C4" t="str">
        <x:v>Central</x:v>
      </x:c>
      <x:c r="D4" t="str">
        <x:v>Supplier K</x:v>
      </x:c>
      <x:c r="E4" t="str">
        <x:v>Network</x:v>
      </x:c>
      <x:c r="F4" t="n">
        <x:v>154</x:v>
      </x:c>
      <x:c r="G4" t="n">
        <x:v>120</x:v>
      </x:c>
      <x:c r="H4" t="n">
        <x:v>136</x:v>
      </x:c>
      <x:c r="I4" t="n">
        <x:v>5</x:v>
      </x:c>
      <x:c r="J4" t="n">
        <x:v>6</x:v>
      </x:c>
      <x:c r="K4" t="str">
        <x:v>No</x:v>
      </x:c>
      <x:c r="L4" s="5" t="n">
        <x:v>0.7792207792207793</x:v>
      </x:c>
      <x:c r="M4" t="n">
        <x:v>16</x:v>
      </x:c>
      <x:c r="N4" s="6" t="n">
        <x:v>586</x:v>
      </x:c>
    </x:row>
    <x:row r="5">
      <x:c r="A5" t="str">
        <x:v>SHP-5004</x:v>
      </x:c>
      <x:c r="B5" s="4" t="n">
        <x:v>45769</x:v>
      </x:c>
      <x:c r="C5" t="str">
        <x:v>East</x:v>
      </x:c>
      <x:c r="D5" t="str">
        <x:v>Supplier D</x:v>
      </x:c>
      <x:c r="E5" t="str">
        <x:v>Industrial</x:v>
      </x:c>
      <x:c r="F5" t="n">
        <x:v>191</x:v>
      </x:c>
      <x:c r="G5" t="n">
        <x:v>188</x:v>
      </x:c>
      <x:c r="H5" t="n">
        <x:v>191</x:v>
      </x:c>
      <x:c r="I5" t="n">
        <x:v>6</x:v>
      </x:c>
      <x:c r="J5" t="n">
        <x:v>7</x:v>
      </x:c>
      <x:c r="K5" t="str">
        <x:v>No</x:v>
      </x:c>
      <x:c r="L5" s="5" t="n">
        <x:v>0.9842931937172775</x:v>
      </x:c>
      <x:c r="M5" t="n">
        <x:v>3</x:v>
      </x:c>
      <x:c r="N5" s="6" t="n">
        <x:v>669</x:v>
      </x:c>
    </x:row>
    <x:row r="6">
      <x:c r="A6" t="str">
        <x:v>SHP-5005</x:v>
      </x:c>
      <x:c r="B6" s="4" t="n">
        <x:v>45779</x:v>
      </x:c>
      <x:c r="C6" t="str">
        <x:v>West</x:v>
      </x:c>
      <x:c r="D6" t="str">
        <x:v>Supplier I</x:v>
      </x:c>
      <x:c r="E6" t="str">
        <x:v>Consumer</x:v>
      </x:c>
      <x:c r="F6" t="n">
        <x:v>228</x:v>
      </x:c>
      <x:c r="G6" t="n">
        <x:v>208</x:v>
      </x:c>
      <x:c r="H6" t="n">
        <x:v>246</x:v>
      </x:c>
      <x:c r="I6" t="n">
        <x:v>7</x:v>
      </x:c>
      <x:c r="J6" t="n">
        <x:v>6</x:v>
      </x:c>
      <x:c r="K6" t="str">
        <x:v>Yes</x:v>
      </x:c>
      <x:c r="L6" s="5" t="n">
        <x:v>0.9122807017543859</x:v>
      </x:c>
      <x:c r="M6" t="n">
        <x:v>38</x:v>
      </x:c>
      <x:c r="N6" s="6" t="n">
        <x:v>752</x:v>
      </x:c>
    </x:row>
    <x:row r="7">
      <x:c r="A7" t="str">
        <x:v>SHP-5006</x:v>
      </x:c>
      <x:c r="B7" s="4" t="n">
        <x:v>45817</x:v>
      </x:c>
      <x:c r="C7" t="str">
        <x:v>South</x:v>
      </x:c>
      <x:c r="D7" t="str">
        <x:v>Supplier B</x:v>
      </x:c>
      <x:c r="E7" t="str">
        <x:v>Electronics</x:v>
      </x:c>
      <x:c r="F7" t="n">
        <x:v>265</x:v>
      </x:c>
      <x:c r="G7" t="n">
        <x:v>228</x:v>
      </x:c>
      <x:c r="H7" t="n">
        <x:v>301</x:v>
      </x:c>
      <x:c r="I7" t="n">
        <x:v>3</x:v>
      </x:c>
      <x:c r="J7" t="n">
        <x:v>2</x:v>
      </x:c>
      <x:c r="K7" t="str">
        <x:v>Yes</x:v>
      </x:c>
      <x:c r="L7" s="5" t="n">
        <x:v>0.8603773584905661</x:v>
      </x:c>
      <x:c r="M7" t="n">
        <x:v>73</x:v>
      </x:c>
      <x:c r="N7" s="6" t="n">
        <x:v>835</x:v>
      </x:c>
    </x:row>
    <x:row r="8">
      <x:c r="A8" t="str">
        <x:v>SHP-5007</x:v>
      </x:c>
      <x:c r="B8" s="4" t="n">
        <x:v>45854</x:v>
      </x:c>
      <x:c r="C8" t="str">
        <x:v>Central</x:v>
      </x:c>
      <x:c r="D8" t="str">
        <x:v>Supplier G</x:v>
      </x:c>
      <x:c r="E8" t="str">
        <x:v>Medical</x:v>
      </x:c>
      <x:c r="F8" t="n">
        <x:v>302</x:v>
      </x:c>
      <x:c r="G8" t="n">
        <x:v>296</x:v>
      </x:c>
      <x:c r="H8" t="n">
        <x:v>356</x:v>
      </x:c>
      <x:c r="I8" t="n">
        <x:v>4</x:v>
      </x:c>
      <x:c r="J8" t="n">
        <x:v>8</x:v>
      </x:c>
      <x:c r="K8" t="str">
        <x:v>No</x:v>
      </x:c>
      <x:c r="L8" s="5" t="n">
        <x:v>0.9801324503311258</x:v>
      </x:c>
      <x:c r="M8" t="n">
        <x:v>60</x:v>
      </x:c>
      <x:c r="N8" s="6" t="n">
        <x:v>918</x:v>
      </x:c>
    </x:row>
    <x:row r="9">
      <x:c r="A9" t="str">
        <x:v>SHP-5008</x:v>
      </x:c>
      <x:c r="B9" s="4" t="n">
        <x:v>45892</x:v>
      </x:c>
      <x:c r="C9" t="str">
        <x:v>East</x:v>
      </x:c>
      <x:c r="D9" t="str">
        <x:v>Supplier L</x:v>
      </x:c>
      <x:c r="E9" t="str">
        <x:v>Network</x:v>
      </x:c>
      <x:c r="F9" t="n">
        <x:v>339</x:v>
      </x:c>
      <x:c r="G9" t="n">
        <x:v>316</x:v>
      </x:c>
      <x:c r="H9" t="n">
        <x:v>285</x:v>
      </x:c>
      <x:c r="I9" t="n">
        <x:v>5</x:v>
      </x:c>
      <x:c r="J9" t="n">
        <x:v>7</x:v>
      </x:c>
      <x:c r="K9" t="str">
        <x:v>No</x:v>
      </x:c>
      <x:c r="L9" s="5" t="n">
        <x:v>0.9321533923303835</x:v>
      </x:c>
      <x:c r="M9" t="n">
        <x:v>31</x:v>
      </x:c>
      <x:c r="N9" s="6" t="n">
        <x:v>1001</x:v>
      </x:c>
    </x:row>
    <x:row r="10">
      <x:c r="A10" t="str">
        <x:v>SHP-5009</x:v>
      </x:c>
      <x:c r="B10" s="4" t="n">
        <x:v>45903</x:v>
      </x:c>
      <x:c r="C10" t="str">
        <x:v>West</x:v>
      </x:c>
      <x:c r="D10" t="str">
        <x:v>Supplier E</x:v>
      </x:c>
      <x:c r="E10" t="str">
        <x:v>Industrial</x:v>
      </x:c>
      <x:c r="F10" t="n">
        <x:v>376</x:v>
      </x:c>
      <x:c r="G10" t="n">
        <x:v>336</x:v>
      </x:c>
      <x:c r="H10" t="n">
        <x:v>340</x:v>
      </x:c>
      <x:c r="I10" t="n">
        <x:v>6</x:v>
      </x:c>
      <x:c r="J10" t="n">
        <x:v>8</x:v>
      </x:c>
      <x:c r="K10" t="str">
        <x:v>No</x:v>
      </x:c>
      <x:c r="L10" s="5" t="n">
        <x:v>0.8936170212765957</x:v>
      </x:c>
      <x:c r="M10" t="n">
        <x:v>4</x:v>
      </x:c>
      <x:c r="N10" s="6" t="n">
        <x:v>1084</x:v>
      </x:c>
    </x:row>
    <x:row r="11">
      <x:c r="A11" t="str">
        <x:v>SHP-5010</x:v>
      </x:c>
      <x:c r="B11" s="4" t="n">
        <x:v>45940</x:v>
      </x:c>
      <x:c r="C11" t="str">
        <x:v>South</x:v>
      </x:c>
      <x:c r="D11" t="str">
        <x:v>Supplier J</x:v>
      </x:c>
      <x:c r="E11" t="str">
        <x:v>Consumer</x:v>
      </x:c>
      <x:c r="F11" t="n">
        <x:v>413</x:v>
      </x:c>
      <x:c r="G11" t="n">
        <x:v>404</x:v>
      </x:c>
      <x:c r="H11" t="n">
        <x:v>395</x:v>
      </x:c>
      <x:c r="I11" t="n">
        <x:v>7</x:v>
      </x:c>
      <x:c r="J11" t="n">
        <x:v>7</x:v>
      </x:c>
      <x:c r="K11" t="str">
        <x:v>Yes</x:v>
      </x:c>
      <x:c r="L11" s="5" t="n">
        <x:v>0.9782082324455206</x:v>
      </x:c>
      <x:c r="M11" t="n">
        <x:v>9</x:v>
      </x:c>
      <x:c r="N11" s="6" t="n">
        <x:v>1167</x:v>
      </x:c>
    </x:row>
    <x:row r="12">
      <x:c r="A12" t="str">
        <x:v>SHP-5011</x:v>
      </x:c>
      <x:c r="B12" s="4" t="n">
        <x:v>45978</x:v>
      </x:c>
      <x:c r="C12" t="str">
        <x:v>Central</x:v>
      </x:c>
      <x:c r="D12" t="str">
        <x:v>Supplier C</x:v>
      </x:c>
      <x:c r="E12" t="str">
        <x:v>Electronics</x:v>
      </x:c>
      <x:c r="F12" t="n">
        <x:v>450</x:v>
      </x:c>
      <x:c r="G12" t="n">
        <x:v>424</x:v>
      </x:c>
      <x:c r="H12" t="n">
        <x:v>450</x:v>
      </x:c>
      <x:c r="I12" t="n">
        <x:v>3</x:v>
      </x:c>
      <x:c r="J12" t="n">
        <x:v>3</x:v>
      </x:c>
      <x:c r="K12" t="str">
        <x:v>Yes</x:v>
      </x:c>
      <x:c r="L12" s="5" t="n">
        <x:v>0.9422222222222222</x:v>
      </x:c>
      <x:c r="M12" t="n">
        <x:v>26</x:v>
      </x:c>
      <x:c r="N12" s="6" t="n">
        <x:v>1250</x:v>
      </x:c>
    </x:row>
    <x:row r="13">
      <x:c r="A13" t="str">
        <x:v>SHP-5012</x:v>
      </x:c>
      <x:c r="B13" s="4" t="n">
        <x:v>46015</x:v>
      </x:c>
      <x:c r="C13" t="str">
        <x:v>East</x:v>
      </x:c>
      <x:c r="D13" t="str">
        <x:v>Supplier H</x:v>
      </x:c>
      <x:c r="E13" t="str">
        <x:v>Medical</x:v>
      </x:c>
      <x:c r="F13" t="n">
        <x:v>487</x:v>
      </x:c>
      <x:c r="G13" t="n">
        <x:v>444</x:v>
      </x:c>
      <x:c r="H13" t="n">
        <x:v>505</x:v>
      </x:c>
      <x:c r="I13" t="n">
        <x:v>4</x:v>
      </x:c>
      <x:c r="J13" t="n">
        <x:v>2</x:v>
      </x:c>
      <x:c r="K13" t="str">
        <x:v>Yes</x:v>
      </x:c>
      <x:c r="L13" s="5" t="n">
        <x:v>0.9117043121149897</x:v>
      </x:c>
      <x:c r="M13" t="n">
        <x:v>61</x:v>
      </x:c>
      <x:c r="N13" s="6" t="n">
        <x:v>1333</x:v>
      </x:c>
    </x:row>
    <x:row r="14">
      <x:c r="A14" t="str">
        <x:v>SHP-5013</x:v>
      </x:c>
      <x:c r="B14" s="4" t="n">
        <x:v>45661</x:v>
      </x:c>
      <x:c r="C14" t="str">
        <x:v>West</x:v>
      </x:c>
      <x:c r="D14" t="str">
        <x:v>Supplier A</x:v>
      </x:c>
      <x:c r="E14" t="str">
        <x:v>Network</x:v>
      </x:c>
      <x:c r="F14" t="n">
        <x:v>104</x:v>
      </x:c>
      <x:c r="G14" t="n">
        <x:v>92</x:v>
      </x:c>
      <x:c r="H14" t="n">
        <x:v>140</x:v>
      </x:c>
      <x:c r="I14" t="n">
        <x:v>5</x:v>
      </x:c>
      <x:c r="J14" t="n">
        <x:v>6</x:v>
      </x:c>
      <x:c r="K14" t="str">
        <x:v>No</x:v>
      </x:c>
      <x:c r="L14" s="5" t="n">
        <x:v>0.8846153846153846</x:v>
      </x:c>
      <x:c r="M14" t="n">
        <x:v>48</x:v>
      </x:c>
      <x:c r="N14" s="6" t="n">
        <x:v>1416</x:v>
      </x:c>
    </x:row>
    <x:row r="15">
      <x:c r="A15" t="str">
        <x:v>SHP-5014</x:v>
      </x:c>
      <x:c r="B15" s="4" t="n">
        <x:v>45699</x:v>
      </x:c>
      <x:c r="C15" t="str">
        <x:v>South</x:v>
      </x:c>
      <x:c r="D15" t="str">
        <x:v>Supplier F</x:v>
      </x:c>
      <x:c r="E15" t="str">
        <x:v>Industrial</x:v>
      </x:c>
      <x:c r="F15" t="n">
        <x:v>141</x:v>
      </x:c>
      <x:c r="G15" t="n">
        <x:v>112</x:v>
      </x:c>
      <x:c r="H15" t="n">
        <x:v>195</x:v>
      </x:c>
      <x:c r="I15" t="n">
        <x:v>6</x:v>
      </x:c>
      <x:c r="J15" t="n">
        <x:v>5</x:v>
      </x:c>
      <x:c r="K15" t="str">
        <x:v>Yes</x:v>
      </x:c>
      <x:c r="L15" s="5" t="n">
        <x:v>0.7943262411347518</x:v>
      </x:c>
      <x:c r="M15" t="n">
        <x:v>83</x:v>
      </x:c>
      <x:c r="N15" s="6" t="n">
        <x:v>1499</x:v>
      </x:c>
    </x:row>
    <x:row r="16">
      <x:c r="A16" t="str">
        <x:v>SHP-5015</x:v>
      </x:c>
      <x:c r="B16" s="4" t="n">
        <x:v>45734</x:v>
      </x:c>
      <x:c r="C16" t="str">
        <x:v>Central</x:v>
      </x:c>
      <x:c r="D16" t="str">
        <x:v>Supplier K</x:v>
      </x:c>
      <x:c r="E16" t="str">
        <x:v>Consumer</x:v>
      </x:c>
      <x:c r="F16" t="n">
        <x:v>178</x:v>
      </x:c>
      <x:c r="G16" t="n">
        <x:v>132</x:v>
      </x:c>
      <x:c r="H16" t="n">
        <x:v>124</x:v>
      </x:c>
      <x:c r="I16" t="n">
        <x:v>7</x:v>
      </x:c>
      <x:c r="J16" t="n">
        <x:v>11</x:v>
      </x:c>
      <x:c r="K16" t="str">
        <x:v>No</x:v>
      </x:c>
      <x:c r="L16" s="5" t="n">
        <x:v>0.7415730337078652</x:v>
      </x:c>
      <x:c r="M16" t="n">
        <x:v>8</x:v>
      </x:c>
      <x:c r="N16" s="6" t="n">
        <x:v>1582</x:v>
      </x:c>
    </x:row>
    <x:row r="17">
      <x:c r="A17" t="str">
        <x:v>SHP-5016</x:v>
      </x:c>
      <x:c r="B17" s="4" t="n">
        <x:v>45772</x:v>
      </x:c>
      <x:c r="C17" t="str">
        <x:v>East</x:v>
      </x:c>
      <x:c r="D17" t="str">
        <x:v>Supplier D</x:v>
      </x:c>
      <x:c r="E17" t="str">
        <x:v>Electronics</x:v>
      </x:c>
      <x:c r="F17" t="n">
        <x:v>215</x:v>
      </x:c>
      <x:c r="G17" t="n">
        <x:v>200</x:v>
      </x:c>
      <x:c r="H17" t="n">
        <x:v>179</x:v>
      </x:c>
      <x:c r="I17" t="n">
        <x:v>3</x:v>
      </x:c>
      <x:c r="J17" t="n">
        <x:v>7</x:v>
      </x:c>
      <x:c r="K17" t="str">
        <x:v>No</x:v>
      </x:c>
      <x:c r="L17" s="5" t="n">
        <x:v>0.9302325581395349</x:v>
      </x:c>
      <x:c r="M17" t="n">
        <x:v>21</x:v>
      </x:c>
      <x:c r="N17" s="6" t="n">
        <x:v>1665</x:v>
      </x:c>
    </x:row>
    <x:row r="18">
      <x:c r="A18" t="str">
        <x:v>SHP-5017</x:v>
      </x:c>
      <x:c r="B18" s="4" t="n">
        <x:v>45782</x:v>
      </x:c>
      <x:c r="C18" t="str">
        <x:v>West</x:v>
      </x:c>
      <x:c r="D18" t="str">
        <x:v>Supplier I</x:v>
      </x:c>
      <x:c r="E18" t="str">
        <x:v>Medical</x:v>
      </x:c>
      <x:c r="F18" t="n">
        <x:v>252</x:v>
      </x:c>
      <x:c r="G18" t="n">
        <x:v>220</x:v>
      </x:c>
      <x:c r="H18" t="n">
        <x:v>234</x:v>
      </x:c>
      <x:c r="I18" t="n">
        <x:v>4</x:v>
      </x:c>
      <x:c r="J18" t="n">
        <x:v>6</x:v>
      </x:c>
      <x:c r="K18" t="str">
        <x:v>No</x:v>
      </x:c>
      <x:c r="L18" s="5" t="n">
        <x:v>0.873015873015873</x:v>
      </x:c>
      <x:c r="M18" t="n">
        <x:v>14</x:v>
      </x:c>
      <x:c r="N18" s="6" t="n">
        <x:v>1748</x:v>
      </x:c>
    </x:row>
    <x:row r="19">
      <x:c r="A19" t="str">
        <x:v>SHP-5018</x:v>
      </x:c>
      <x:c r="B19" s="4" t="n">
        <x:v>45820</x:v>
      </x:c>
      <x:c r="C19" t="str">
        <x:v>South</x:v>
      </x:c>
      <x:c r="D19" t="str">
        <x:v>Supplier B</x:v>
      </x:c>
      <x:c r="E19" t="str">
        <x:v>Network</x:v>
      </x:c>
      <x:c r="F19" t="n">
        <x:v>289</x:v>
      </x:c>
      <x:c r="G19" t="n">
        <x:v>288</x:v>
      </x:c>
      <x:c r="H19" t="n">
        <x:v>289</x:v>
      </x:c>
      <x:c r="I19" t="n">
        <x:v>5</x:v>
      </x:c>
      <x:c r="J19" t="n">
        <x:v>7</x:v>
      </x:c>
      <x:c r="K19" t="str">
        <x:v>No</x:v>
      </x:c>
      <x:c r="L19" s="5" t="n">
        <x:v>0.9965397923875432</x:v>
      </x:c>
      <x:c r="M19" t="n">
        <x:v>1</x:v>
      </x:c>
      <x:c r="N19" s="6" t="n">
        <x:v>1831</x:v>
      </x:c>
    </x:row>
    <x:row r="20">
      <x:c r="A20" t="str">
        <x:v>SHP-5019</x:v>
      </x:c>
      <x:c r="B20" s="4" t="n">
        <x:v>45857</x:v>
      </x:c>
      <x:c r="C20" t="str">
        <x:v>Central</x:v>
      </x:c>
      <x:c r="D20" t="str">
        <x:v>Supplier G</x:v>
      </x:c>
      <x:c r="E20" t="str">
        <x:v>Industrial</x:v>
      </x:c>
      <x:c r="F20" t="n">
        <x:v>326</x:v>
      </x:c>
      <x:c r="G20" t="n">
        <x:v>308</x:v>
      </x:c>
      <x:c r="H20" t="n">
        <x:v>344</x:v>
      </x:c>
      <x:c r="I20" t="n">
        <x:v>6</x:v>
      </x:c>
      <x:c r="J20" t="n">
        <x:v>6</x:v>
      </x:c>
      <x:c r="K20" t="str">
        <x:v>Yes</x:v>
      </x:c>
      <x:c r="L20" s="5" t="n">
        <x:v>0.9447852760736196</x:v>
      </x:c>
      <x:c r="M20" t="n">
        <x:v>36</x:v>
      </x:c>
      <x:c r="N20" s="6" t="n">
        <x:v>1914</x:v>
      </x:c>
    </x:row>
    <x:row r="21">
      <x:c r="A21" t="str">
        <x:v>SHP-5020</x:v>
      </x:c>
      <x:c r="B21" s="4" t="n">
        <x:v>45895</x:v>
      </x:c>
      <x:c r="C21" t="str">
        <x:v>East</x:v>
      </x:c>
      <x:c r="D21" t="str">
        <x:v>Supplier L</x:v>
      </x:c>
      <x:c r="E21" t="str">
        <x:v>Consumer</x:v>
      </x:c>
      <x:c r="F21" t="n">
        <x:v>363</x:v>
      </x:c>
      <x:c r="G21" t="n">
        <x:v>328</x:v>
      </x:c>
      <x:c r="H21" t="n">
        <x:v>399</x:v>
      </x:c>
      <x:c r="I21" t="n">
        <x:v>7</x:v>
      </x:c>
      <x:c r="J21" t="n">
        <x:v>5</x:v>
      </x:c>
      <x:c r="K21" t="str">
        <x:v>Yes</x:v>
      </x:c>
      <x:c r="L21" s="5" t="n">
        <x:v>0.9035812672176309</x:v>
      </x:c>
      <x:c r="M21" t="n">
        <x:v>71</x:v>
      </x:c>
      <x:c r="N21" s="6" t="n">
        <x:v>1997</x:v>
      </x:c>
    </x:row>
    <x:row r="22">
      <x:c r="A22" t="str">
        <x:v>SHP-5021</x:v>
      </x:c>
      <x:c r="B22" s="4" t="n">
        <x:v>45906</x:v>
      </x:c>
      <x:c r="C22" t="str">
        <x:v>West</x:v>
      </x:c>
      <x:c r="D22" t="str">
        <x:v>Supplier E</x:v>
      </x:c>
      <x:c r="E22" t="str">
        <x:v>Electronics</x:v>
      </x:c>
      <x:c r="F22" t="n">
        <x:v>400</x:v>
      </x:c>
      <x:c r="G22" t="n">
        <x:v>396</x:v>
      </x:c>
      <x:c r="H22" t="n">
        <x:v>454</x:v>
      </x:c>
      <x:c r="I22" t="n">
        <x:v>3</x:v>
      </x:c>
      <x:c r="J22" t="n">
        <x:v>1</x:v>
      </x:c>
      <x:c r="K22" t="str">
        <x:v>Yes</x:v>
      </x:c>
      <x:c r="L22" s="5" t="n">
        <x:v>0.99</x:v>
      </x:c>
      <x:c r="M22" t="n">
        <x:v>58</x:v>
      </x:c>
      <x:c r="N22" s="6" t="n">
        <x:v>2080</x:v>
      </x:c>
    </x:row>
    <x:row r="23">
      <x:c r="A23" t="str">
        <x:v>SHP-5022</x:v>
      </x:c>
      <x:c r="B23" s="4" t="n">
        <x:v>45943</x:v>
      </x:c>
      <x:c r="C23" t="str">
        <x:v>South</x:v>
      </x:c>
      <x:c r="D23" t="str">
        <x:v>Supplier J</x:v>
      </x:c>
      <x:c r="E23" t="str">
        <x:v>Medical</x:v>
      </x:c>
      <x:c r="F23" t="n">
        <x:v>437</x:v>
      </x:c>
      <x:c r="G23" t="n">
        <x:v>416</x:v>
      </x:c>
      <x:c r="H23" t="n">
        <x:v>383</x:v>
      </x:c>
      <x:c r="I23" t="n">
        <x:v>4</x:v>
      </x:c>
      <x:c r="J23" t="n">
        <x:v>7</x:v>
      </x:c>
      <x:c r="K23" t="str">
        <x:v>No</x:v>
      </x:c>
      <x:c r="L23" s="5" t="n">
        <x:v>0.9519450800915332</x:v>
      </x:c>
      <x:c r="M23" t="n">
        <x:v>33</x:v>
      </x:c>
      <x:c r="N23" s="6" t="n">
        <x:v>2163</x:v>
      </x:c>
    </x:row>
    <x:row r="24">
      <x:c r="A24" t="str">
        <x:v>SHP-5023</x:v>
      </x:c>
      <x:c r="B24" s="4" t="n">
        <x:v>45981</x:v>
      </x:c>
      <x:c r="C24" t="str">
        <x:v>Central</x:v>
      </x:c>
      <x:c r="D24" t="str">
        <x:v>Supplier C</x:v>
      </x:c>
      <x:c r="E24" t="str">
        <x:v>Network</x:v>
      </x:c>
      <x:c r="F24" t="n">
        <x:v>474</x:v>
      </x:c>
      <x:c r="G24" t="n">
        <x:v>436</x:v>
      </x:c>
      <x:c r="H24" t="n">
        <x:v>438</x:v>
      </x:c>
      <x:c r="I24" t="n">
        <x:v>5</x:v>
      </x:c>
      <x:c r="J24" t="n">
        <x:v>8</x:v>
      </x:c>
      <x:c r="K24" t="str">
        <x:v>No</x:v>
      </x:c>
      <x:c r="L24" s="5" t="n">
        <x:v>0.919831223628692</x:v>
      </x:c>
      <x:c r="M24" t="n">
        <x:v>2</x:v>
      </x:c>
      <x:c r="N24" s="6" t="n">
        <x:v>2246</x:v>
      </x:c>
    </x:row>
    <x:row r="25">
      <x:c r="A25" t="str">
        <x:v>SHP-5024</x:v>
      </x:c>
      <x:c r="B25" s="4" t="n">
        <x:v>46018</x:v>
      </x:c>
      <x:c r="C25" t="str">
        <x:v>East</x:v>
      </x:c>
      <x:c r="D25" t="str">
        <x:v>Supplier H</x:v>
      </x:c>
      <x:c r="E25" t="str">
        <x:v>Industrial</x:v>
      </x:c>
      <x:c r="F25" t="n">
        <x:v>91</x:v>
      </x:c>
      <x:c r="G25" t="n">
        <x:v>84</x:v>
      </x:c>
      <x:c r="H25" t="n">
        <x:v>73</x:v>
      </x:c>
      <x:c r="I25" t="n">
        <x:v>6</x:v>
      </x:c>
      <x:c r="J25" t="n">
        <x:v>7</x:v>
      </x:c>
      <x:c r="K25" t="str">
        <x:v>No</x:v>
      </x:c>
      <x:c r="L25" s="5" t="n">
        <x:v>0.9230769230769231</x:v>
      </x:c>
      <x:c r="M25" t="n">
        <x:v>11</x:v>
      </x:c>
      <x:c r="N25" s="6" t="n">
        <x:v>2329</x:v>
      </x:c>
    </x:row>
    <x:row r="26">
      <x:c r="A26" t="str">
        <x:v>SHP-5025</x:v>
      </x:c>
      <x:c r="B26" s="4" t="n">
        <x:v>45664</x:v>
      </x:c>
      <x:c r="C26" t="str">
        <x:v>West</x:v>
      </x:c>
      <x:c r="D26" t="str">
        <x:v>Supplier A</x:v>
      </x:c>
      <x:c r="E26" t="str">
        <x:v>Consumer</x:v>
      </x:c>
      <x:c r="F26" t="n">
        <x:v>128</x:v>
      </x:c>
      <x:c r="G26" t="n">
        <x:v>104</x:v>
      </x:c>
      <x:c r="H26" t="n">
        <x:v>128</x:v>
      </x:c>
      <x:c r="I26" t="n">
        <x:v>7</x:v>
      </x:c>
      <x:c r="J26" t="n">
        <x:v>11</x:v>
      </x:c>
      <x:c r="K26" t="str">
        <x:v>No</x:v>
      </x:c>
      <x:c r="L26" s="5" t="n">
        <x:v>0.8125</x:v>
      </x:c>
      <x:c r="M26" t="n">
        <x:v>24</x:v>
      </x:c>
      <x:c r="N26" s="6" t="n">
        <x:v>2412</x:v>
      </x:c>
    </x:row>
    <x:row r="27">
      <x:c r="A27" t="str">
        <x:v>SHP-5026</x:v>
      </x:c>
      <x:c r="B27" s="4" t="n">
        <x:v>45702</x:v>
      </x:c>
      <x:c r="C27" t="str">
        <x:v>South</x:v>
      </x:c>
      <x:c r="D27" t="str">
        <x:v>Supplier F</x:v>
      </x:c>
      <x:c r="E27" t="str">
        <x:v>Electronics</x:v>
      </x:c>
      <x:c r="F27" t="n">
        <x:v>165</x:v>
      </x:c>
      <x:c r="G27" t="n">
        <x:v>124</x:v>
      </x:c>
      <x:c r="H27" t="n">
        <x:v>183</x:v>
      </x:c>
      <x:c r="I27" t="n">
        <x:v>3</x:v>
      </x:c>
      <x:c r="J27" t="n">
        <x:v>5</x:v>
      </x:c>
      <x:c r="K27" t="str">
        <x:v>No</x:v>
      </x:c>
      <x:c r="L27" s="5" t="n">
        <x:v>0.7515151515151515</x:v>
      </x:c>
      <x:c r="M27" t="n">
        <x:v>59</x:v>
      </x:c>
      <x:c r="N27" s="6" t="n">
        <x:v>2495</x:v>
      </x:c>
    </x:row>
    <x:row r="28">
      <x:c r="A28" t="str">
        <x:v>SHP-5027</x:v>
      </x:c>
      <x:c r="B28" s="4" t="n">
        <x:v>45737</x:v>
      </x:c>
      <x:c r="C28" t="str">
        <x:v>Central</x:v>
      </x:c>
      <x:c r="D28" t="str">
        <x:v>Supplier K</x:v>
      </x:c>
      <x:c r="E28" t="str">
        <x:v>Medical</x:v>
      </x:c>
      <x:c r="F28" t="n">
        <x:v>202</x:v>
      </x:c>
      <x:c r="G28" t="n">
        <x:v>192</x:v>
      </x:c>
      <x:c r="H28" t="n">
        <x:v>238</x:v>
      </x:c>
      <x:c r="I28" t="n">
        <x:v>4</x:v>
      </x:c>
      <x:c r="J28" t="n">
        <x:v>4</x:v>
      </x:c>
      <x:c r="K28" t="str">
        <x:v>Yes</x:v>
      </x:c>
      <x:c r="L28" s="5" t="n">
        <x:v>0.9504950495049505</x:v>
      </x:c>
      <x:c r="M28" t="n">
        <x:v>46</x:v>
      </x:c>
      <x:c r="N28" s="6" t="n">
        <x:v>2578</x:v>
      </x:c>
    </x:row>
    <x:row r="29">
      <x:c r="A29" t="str">
        <x:v>SHP-5028</x:v>
      </x:c>
      <x:c r="B29" s="4" t="n">
        <x:v>45748</x:v>
      </x:c>
      <x:c r="C29" t="str">
        <x:v>East</x:v>
      </x:c>
      <x:c r="D29" t="str">
        <x:v>Supplier D</x:v>
      </x:c>
      <x:c r="E29" t="str">
        <x:v>Network</x:v>
      </x:c>
      <x:c r="F29" t="n">
        <x:v>239</x:v>
      </x:c>
      <x:c r="G29" t="n">
        <x:v>212</x:v>
      </x:c>
      <x:c r="H29" t="n">
        <x:v>293</x:v>
      </x:c>
      <x:c r="I29" t="n">
        <x:v>5</x:v>
      </x:c>
      <x:c r="J29" t="n">
        <x:v>5</x:v>
      </x:c>
      <x:c r="K29" t="str">
        <x:v>Yes</x:v>
      </x:c>
      <x:c r="L29" s="5" t="n">
        <x:v>0.8870292887029289</x:v>
      </x:c>
      <x:c r="M29" t="n">
        <x:v>81</x:v>
      </x:c>
      <x:c r="N29" s="6" t="n">
        <x:v>2661</x:v>
      </x:c>
    </x:row>
    <x:row r="30">
      <x:c r="A30" t="str">
        <x:v>SHP-5029</x:v>
      </x:c>
      <x:c r="B30" s="4" t="n">
        <x:v>45785</x:v>
      </x:c>
      <x:c r="C30" t="str">
        <x:v>West</x:v>
      </x:c>
      <x:c r="D30" t="str">
        <x:v>Supplier I</x:v>
      </x:c>
      <x:c r="E30" t="str">
        <x:v>Industrial</x:v>
      </x:c>
      <x:c r="F30" t="n">
        <x:v>276</x:v>
      </x:c>
      <x:c r="G30" t="n">
        <x:v>232</x:v>
      </x:c>
      <x:c r="H30" t="n">
        <x:v>222</x:v>
      </x:c>
      <x:c r="I30" t="n">
        <x:v>6</x:v>
      </x:c>
      <x:c r="J30" t="n">
        <x:v>4</x:v>
      </x:c>
      <x:c r="K30" t="str">
        <x:v>Yes</x:v>
      </x:c>
      <x:c r="L30" s="5" t="n">
        <x:v>0.8405797101449275</x:v>
      </x:c>
      <x:c r="M30" t="n">
        <x:v>10</x:v>
      </x:c>
      <x:c r="N30" s="6" t="n">
        <x:v>2744</x:v>
      </x:c>
    </x:row>
    <x:row r="31">
      <x:c r="A31" t="str">
        <x:v>SHP-5030</x:v>
      </x:c>
      <x:c r="B31" s="4" t="n">
        <x:v>45823</x:v>
      </x:c>
      <x:c r="C31" t="str">
        <x:v>South</x:v>
      </x:c>
      <x:c r="D31" t="str">
        <x:v>Supplier B</x:v>
      </x:c>
      <x:c r="E31" t="str">
        <x:v>Consumer</x:v>
      </x:c>
      <x:c r="F31" t="n">
        <x:v>313</x:v>
      </x:c>
      <x:c r="G31" t="n">
        <x:v>300</x:v>
      </x:c>
      <x:c r="H31" t="n">
        <x:v>277</x:v>
      </x:c>
      <x:c r="I31" t="n">
        <x:v>7</x:v>
      </x:c>
      <x:c r="J31" t="n">
        <x:v>5</x:v>
      </x:c>
      <x:c r="K31" t="str">
        <x:v>Yes</x:v>
      </x:c>
      <x:c r="L31" s="5" t="n">
        <x:v>0.9584664536741214</x:v>
      </x:c>
      <x:c r="M31" t="n">
        <x:v>23</x:v>
      </x:c>
      <x:c r="N31" s="6" t="n">
        <x:v>2827</x:v>
      </x:c>
    </x:row>
    <x:row r="32">
      <x:c r="A32" t="str">
        <x:v>SHP-5031</x:v>
      </x:c>
      <x:c r="B32" s="4" t="n">
        <x:v>45860</x:v>
      </x:c>
      <x:c r="C32" t="str">
        <x:v>Central</x:v>
      </x:c>
      <x:c r="D32" t="str">
        <x:v>Supplier G</x:v>
      </x:c>
      <x:c r="E32" t="str">
        <x:v>Electronics</x:v>
      </x:c>
      <x:c r="F32" t="n">
        <x:v>350</x:v>
      </x:c>
      <x:c r="G32" t="n">
        <x:v>320</x:v>
      </x:c>
      <x:c r="H32" t="n">
        <x:v>332</x:v>
      </x:c>
      <x:c r="I32" t="n">
        <x:v>3</x:v>
      </x:c>
      <x:c r="J32" t="n">
        <x:v>6</x:v>
      </x:c>
      <x:c r="K32" t="str">
        <x:v>No</x:v>
      </x:c>
      <x:c r="L32" s="5" t="n">
        <x:v>0.9142857142857143</x:v>
      </x:c>
      <x:c r="M32" t="n">
        <x:v>12</x:v>
      </x:c>
      <x:c r="N32" s="6" t="n">
        <x:v>2910</x:v>
      </x:c>
    </x:row>
    <x:row r="33">
      <x:c r="A33" t="str">
        <x:v>SHP-5032</x:v>
      </x:c>
      <x:c r="B33" s="4" t="n">
        <x:v>45871</x:v>
      </x:c>
      <x:c r="C33" t="str">
        <x:v>East</x:v>
      </x:c>
      <x:c r="D33" t="str">
        <x:v>Supplier L</x:v>
      </x:c>
      <x:c r="E33" t="str">
        <x:v>Medical</x:v>
      </x:c>
      <x:c r="F33" t="n">
        <x:v>387</x:v>
      </x:c>
      <x:c r="G33" t="n">
        <x:v>340</x:v>
      </x:c>
      <x:c r="H33" t="n">
        <x:v>387</x:v>
      </x:c>
      <x:c r="I33" t="n">
        <x:v>4</x:v>
      </x:c>
      <x:c r="J33" t="n">
        <x:v>5</x:v>
      </x:c>
      <x:c r="K33" t="str">
        <x:v>No</x:v>
      </x:c>
      <x:c r="L33" s="5" t="n">
        <x:v>0.8785529715762274</x:v>
      </x:c>
      <x:c r="M33" t="n">
        <x:v>47</x:v>
      </x:c>
      <x:c r="N33" s="6" t="n">
        <x:v>2993</x:v>
      </x:c>
    </x:row>
    <x:row r="34">
      <x:c r="A34" t="str">
        <x:v>SHP-5033</x:v>
      </x:c>
      <x:c r="B34" s="4" t="n">
        <x:v>45909</x:v>
      </x:c>
      <x:c r="C34" t="str">
        <x:v>West</x:v>
      </x:c>
      <x:c r="D34" t="str">
        <x:v>Supplier E</x:v>
      </x:c>
      <x:c r="E34" t="str">
        <x:v>Network</x:v>
      </x:c>
      <x:c r="F34" t="n">
        <x:v>424</x:v>
      </x:c>
      <x:c r="G34" t="n">
        <x:v>408</x:v>
      </x:c>
      <x:c r="H34" t="n">
        <x:v>442</x:v>
      </x:c>
      <x:c r="I34" t="n">
        <x:v>5</x:v>
      </x:c>
      <x:c r="J34" t="n">
        <x:v>6</x:v>
      </x:c>
      <x:c r="K34" t="str">
        <x:v>No</x:v>
      </x:c>
      <x:c r="L34" s="5" t="n">
        <x:v>0.9622641509433962</x:v>
      </x:c>
      <x:c r="M34" t="n">
        <x:v>34</x:v>
      </x:c>
      <x:c r="N34" s="6" t="n">
        <x:v>476</x:v>
      </x:c>
    </x:row>
    <x:row r="35">
      <x:c r="A35" t="str">
        <x:v>SHP-5034</x:v>
      </x:c>
      <x:c r="B35" s="4" t="n">
        <x:v>45946</x:v>
      </x:c>
      <x:c r="C35" t="str">
        <x:v>South</x:v>
      </x:c>
      <x:c r="D35" t="str">
        <x:v>Supplier J</x:v>
      </x:c>
      <x:c r="E35" t="str">
        <x:v>Industrial</x:v>
      </x:c>
      <x:c r="F35" t="n">
        <x:v>461</x:v>
      </x:c>
      <x:c r="G35" t="n">
        <x:v>428</x:v>
      </x:c>
      <x:c r="H35" t="n">
        <x:v>497</x:v>
      </x:c>
      <x:c r="I35" t="n">
        <x:v>6</x:v>
      </x:c>
      <x:c r="J35" t="n">
        <x:v>5</x:v>
      </x:c>
      <x:c r="K35" t="str">
        <x:v>Yes</x:v>
      </x:c>
      <x:c r="L35" s="5" t="n">
        <x:v>0.928416485900217</x:v>
      </x:c>
      <x:c r="M35" t="n">
        <x:v>69</x:v>
      </x:c>
      <x:c r="N35" s="6" t="n">
        <x:v>559</x:v>
      </x:c>
    </x:row>
    <x:row r="36">
      <x:c r="A36" t="str">
        <x:v>SHP-5035</x:v>
      </x:c>
      <x:c r="B36" s="4" t="n">
        <x:v>45984</x:v>
      </x:c>
      <x:c r="C36" t="str">
        <x:v>Central</x:v>
      </x:c>
      <x:c r="D36" t="str">
        <x:v>Supplier C</x:v>
      </x:c>
      <x:c r="E36" t="str">
        <x:v>Consumer</x:v>
      </x:c>
      <x:c r="F36" t="n">
        <x:v>498</x:v>
      </x:c>
      <x:c r="G36" t="n">
        <x:v>496</x:v>
      </x:c>
      <x:c r="H36" t="n">
        <x:v>552</x:v>
      </x:c>
      <x:c r="I36" t="n">
        <x:v>7</x:v>
      </x:c>
      <x:c r="J36" t="n">
        <x:v>6</x:v>
      </x:c>
      <x:c r="K36" t="str">
        <x:v>Yes</x:v>
      </x:c>
      <x:c r="L36" s="5" t="n">
        <x:v>0.9959839357429718</x:v>
      </x:c>
      <x:c r="M36" t="n">
        <x:v>56</x:v>
      </x:c>
      <x:c r="N36" s="6" t="n">
        <x:v>642</x:v>
      </x:c>
    </x:row>
    <x:row r="37">
      <x:c r="A37" t="str">
        <x:v>SHP-5036</x:v>
      </x:c>
      <x:c r="B37" s="4" t="n">
        <x:v>45994</x:v>
      </x:c>
      <x:c r="C37" t="str">
        <x:v>East</x:v>
      </x:c>
      <x:c r="D37" t="str">
        <x:v>Supplier H</x:v>
      </x:c>
      <x:c r="E37" t="str">
        <x:v>Electronics</x:v>
      </x:c>
      <x:c r="F37" t="n">
        <x:v>115</x:v>
      </x:c>
      <x:c r="G37" t="n">
        <x:v>96</x:v>
      </x:c>
      <x:c r="H37" t="n">
        <x:v>61</x:v>
      </x:c>
      <x:c r="I37" t="n">
        <x:v>3</x:v>
      </x:c>
      <x:c r="J37" t="n">
        <x:v>7</x:v>
      </x:c>
      <x:c r="K37" t="str">
        <x:v>No</x:v>
      </x:c>
      <x:c r="L37" s="5" t="n">
        <x:v>0.8347826086956521</x:v>
      </x:c>
      <x:c r="M37" t="n">
        <x:v>35</x:v>
      </x:c>
      <x:c r="N37" s="6" t="n">
        <x:v>725</x:v>
      </x:c>
    </x:row>
    <x:row r="38">
      <x:c r="A38" t="str">
        <x:v>SHP-5037</x:v>
      </x:c>
      <x:c r="B38" s="4" t="n">
        <x:v>45667</x:v>
      </x:c>
      <x:c r="C38" t="str">
        <x:v>West</x:v>
      </x:c>
      <x:c r="D38" t="str">
        <x:v>Supplier A</x:v>
      </x:c>
      <x:c r="E38" t="str">
        <x:v>Medical</x:v>
      </x:c>
      <x:c r="F38" t="n">
        <x:v>152</x:v>
      </x:c>
      <x:c r="G38" t="n">
        <x:v>116</x:v>
      </x:c>
      <x:c r="H38" t="n">
        <x:v>116</x:v>
      </x:c>
      <x:c r="I38" t="n">
        <x:v>4</x:v>
      </x:c>
      <x:c r="J38" t="n">
        <x:v>4</x:v>
      </x:c>
      <x:c r="K38" t="str">
        <x:v>Yes</x:v>
      </x:c>
      <x:c r="L38" s="5" t="n">
        <x:v>0.7631578947368421</x:v>
      </x:c>
      <x:c r="M38" t="n">
        <x:v>0</x:v>
      </x:c>
      <x:c r="N38" s="6" t="n">
        <x:v>808</x:v>
      </x:c>
    </x:row>
    <x:row r="39">
      <x:c r="A39" t="str">
        <x:v>SHP-5038</x:v>
      </x:c>
      <x:c r="B39" s="4" t="n">
        <x:v>45705</x:v>
      </x:c>
      <x:c r="C39" t="str">
        <x:v>South</x:v>
      </x:c>
      <x:c r="D39" t="str">
        <x:v>Supplier F</x:v>
      </x:c>
      <x:c r="E39" t="str">
        <x:v>Network</x:v>
      </x:c>
      <x:c r="F39" t="n">
        <x:v>189</x:v>
      </x:c>
      <x:c r="G39" t="n">
        <x:v>184</x:v>
      </x:c>
      <x:c r="H39" t="n">
        <x:v>171</x:v>
      </x:c>
      <x:c r="I39" t="n">
        <x:v>5</x:v>
      </x:c>
      <x:c r="J39" t="n">
        <x:v>3</x:v>
      </x:c>
      <x:c r="K39" t="str">
        <x:v>Yes</x:v>
      </x:c>
      <x:c r="L39" s="5" t="n">
        <x:v>0.9735449735449735</x:v>
      </x:c>
      <x:c r="M39" t="n">
        <x:v>13</x:v>
      </x:c>
      <x:c r="N39" s="6" t="n">
        <x:v>891</x:v>
      </x:c>
    </x:row>
    <x:row r="40">
      <x:c r="A40" t="str">
        <x:v>SHP-5039</x:v>
      </x:c>
      <x:c r="B40" s="4" t="n">
        <x:v>45740</x:v>
      </x:c>
      <x:c r="C40" t="str">
        <x:v>Central</x:v>
      </x:c>
      <x:c r="D40" t="str">
        <x:v>Supplier K</x:v>
      </x:c>
      <x:c r="E40" t="str">
        <x:v>Industrial</x:v>
      </x:c>
      <x:c r="F40" t="n">
        <x:v>226</x:v>
      </x:c>
      <x:c r="G40" t="n">
        <x:v>204</x:v>
      </x:c>
      <x:c r="H40" t="n">
        <x:v>226</x:v>
      </x:c>
      <x:c r="I40" t="n">
        <x:v>6</x:v>
      </x:c>
      <x:c r="J40" t="n">
        <x:v>9</x:v>
      </x:c>
      <x:c r="K40" t="str">
        <x:v>No</x:v>
      </x:c>
      <x:c r="L40" s="5" t="n">
        <x:v>0.9026548672566371</x:v>
      </x:c>
      <x:c r="M40" t="n">
        <x:v>22</x:v>
      </x:c>
      <x:c r="N40" s="6" t="n">
        <x:v>974</x:v>
      </x:c>
    </x:row>
    <x:row r="41">
      <x:c r="A41" t="str">
        <x:v>SHP-5040</x:v>
      </x:c>
      <x:c r="B41" s="4" t="n">
        <x:v>45751</x:v>
      </x:c>
      <x:c r="C41" t="str">
        <x:v>East</x:v>
      </x:c>
      <x:c r="D41" t="str">
        <x:v>Supplier D</x:v>
      </x:c>
      <x:c r="E41" t="str">
        <x:v>Consumer</x:v>
      </x:c>
      <x:c r="F41" t="n">
        <x:v>263</x:v>
      </x:c>
      <x:c r="G41" t="n">
        <x:v>224</x:v>
      </x:c>
      <x:c r="H41" t="n">
        <x:v>281</x:v>
      </x:c>
      <x:c r="I41" t="n">
        <x:v>7</x:v>
      </x:c>
      <x:c r="J41" t="n">
        <x:v>10</x:v>
      </x:c>
      <x:c r="K41" t="str">
        <x:v>No</x:v>
      </x:c>
      <x:c r="L41" s="5" t="n">
        <x:v>0.8517110266159695</x:v>
      </x:c>
      <x:c r="M41" t="n">
        <x:v>57</x:v>
      </x:c>
      <x:c r="N41" s="6" t="n">
        <x:v>1057</x:v>
      </x:c>
    </x:row>
    <x:row r="42">
      <x:c r="A42" t="str">
        <x:v>SHP-5041</x:v>
      </x:c>
      <x:c r="B42" s="4" t="n">
        <x:v>45788</x:v>
      </x:c>
      <x:c r="C42" t="str">
        <x:v>West</x:v>
      </x:c>
      <x:c r="D42" t="str">
        <x:v>Supplier I</x:v>
      </x:c>
      <x:c r="E42" t="str">
        <x:v>Electronics</x:v>
      </x:c>
      <x:c r="F42" t="n">
        <x:v>300</x:v>
      </x:c>
      <x:c r="G42" t="n">
        <x:v>292</x:v>
      </x:c>
      <x:c r="H42" t="n">
        <x:v>336</x:v>
      </x:c>
      <x:c r="I42" t="n">
        <x:v>3</x:v>
      </x:c>
      <x:c r="J42" t="n">
        <x:v>4</x:v>
      </x:c>
      <x:c r="K42" t="str">
        <x:v>No</x:v>
      </x:c>
      <x:c r="L42" s="5" t="n">
        <x:v>0.9733333333333334</x:v>
      </x:c>
      <x:c r="M42" t="n">
        <x:v>44</x:v>
      </x:c>
      <x:c r="N42" s="6" t="n">
        <x:v>1140</x:v>
      </x:c>
    </x:row>
    <x:row r="43">
      <x:c r="A43" t="str">
        <x:v>SHP-5042</x:v>
      </x:c>
      <x:c r="B43" s="4" t="n">
        <x:v>45826</x:v>
      </x:c>
      <x:c r="C43" t="str">
        <x:v>South</x:v>
      </x:c>
      <x:c r="D43" t="str">
        <x:v>Supplier B</x:v>
      </x:c>
      <x:c r="E43" t="str">
        <x:v>Medical</x:v>
      </x:c>
      <x:c r="F43" t="n">
        <x:v>337</x:v>
      </x:c>
      <x:c r="G43" t="n">
        <x:v>312</x:v>
      </x:c>
      <x:c r="H43" t="n">
        <x:v>391</x:v>
      </x:c>
      <x:c r="I43" t="n">
        <x:v>4</x:v>
      </x:c>
      <x:c r="J43" t="n">
        <x:v>5</x:v>
      </x:c>
      <x:c r="K43" t="str">
        <x:v>No</x:v>
      </x:c>
      <x:c r="L43" s="5" t="n">
        <x:v>0.9258160237388724</x:v>
      </x:c>
      <x:c r="M43" t="n">
        <x:v>79</x:v>
      </x:c>
      <x:c r="N43" s="6" t="n">
        <x:v>1223</x:v>
      </x:c>
    </x:row>
    <x:row r="44">
      <x:c r="A44" t="str">
        <x:v>SHP-5043</x:v>
      </x:c>
      <x:c r="B44" s="4" t="n">
        <x:v>45863</x:v>
      </x:c>
      <x:c r="C44" t="str">
        <x:v>Central</x:v>
      </x:c>
      <x:c r="D44" t="str">
        <x:v>Supplier G</x:v>
      </x:c>
      <x:c r="E44" t="str">
        <x:v>Network</x:v>
      </x:c>
      <x:c r="F44" t="n">
        <x:v>374</x:v>
      </x:c>
      <x:c r="G44" t="n">
        <x:v>332</x:v>
      </x:c>
      <x:c r="H44" t="n">
        <x:v>320</x:v>
      </x:c>
      <x:c r="I44" t="n">
        <x:v>5</x:v>
      </x:c>
      <x:c r="J44" t="n">
        <x:v>4</x:v>
      </x:c>
      <x:c r="K44" t="str">
        <x:v>Yes</x:v>
      </x:c>
      <x:c r="L44" s="5" t="n">
        <x:v>0.8877005347593583</x:v>
      </x:c>
      <x:c r="M44" t="n">
        <x:v>12</x:v>
      </x:c>
      <x:c r="N44" s="6" t="n">
        <x:v>1306</x:v>
      </x:c>
    </x:row>
    <x:row r="45">
      <x:c r="A45" t="str">
        <x:v>SHP-5044</x:v>
      </x:c>
      <x:c r="B45" s="4" t="n">
        <x:v>45874</x:v>
      </x:c>
      <x:c r="C45" t="str">
        <x:v>East</x:v>
      </x:c>
      <x:c r="D45" t="str">
        <x:v>Supplier L</x:v>
      </x:c>
      <x:c r="E45" t="str">
        <x:v>Industrial</x:v>
      </x:c>
      <x:c r="F45" t="n">
        <x:v>411</x:v>
      </x:c>
      <x:c r="G45" t="n">
        <x:v>400</x:v>
      </x:c>
      <x:c r="H45" t="n">
        <x:v>375</x:v>
      </x:c>
      <x:c r="I45" t="n">
        <x:v>6</x:v>
      </x:c>
      <x:c r="J45" t="n">
        <x:v>10</x:v>
      </x:c>
      <x:c r="K45" t="str">
        <x:v>No</x:v>
      </x:c>
      <x:c r="L45" s="5" t="n">
        <x:v>0.9732360097323601</x:v>
      </x:c>
      <x:c r="M45" t="n">
        <x:v>25</x:v>
      </x:c>
      <x:c r="N45" s="6" t="n">
        <x:v>1389</x:v>
      </x:c>
    </x:row>
    <x:row r="46">
      <x:c r="A46" t="str">
        <x:v>SHP-5045</x:v>
      </x:c>
      <x:c r="B46" s="4" t="n">
        <x:v>45912</x:v>
      </x:c>
      <x:c r="C46" t="str">
        <x:v>West</x:v>
      </x:c>
      <x:c r="D46" t="str">
        <x:v>Supplier E</x:v>
      </x:c>
      <x:c r="E46" t="str">
        <x:v>Consumer</x:v>
      </x:c>
      <x:c r="F46" t="n">
        <x:v>448</x:v>
      </x:c>
      <x:c r="G46" t="n">
        <x:v>420</x:v>
      </x:c>
      <x:c r="H46" t="n">
        <x:v>430</x:v>
      </x:c>
      <x:c r="I46" t="n">
        <x:v>7</x:v>
      </x:c>
      <x:c r="J46" t="n">
        <x:v>11</x:v>
      </x:c>
      <x:c r="K46" t="str">
        <x:v>No</x:v>
      </x:c>
      <x:c r="L46" s="5" t="n">
        <x:v>0.9375</x:v>
      </x:c>
      <x:c r="M46" t="n">
        <x:v>10</x:v>
      </x:c>
      <x:c r="N46" s="6" t="n">
        <x:v>1472</x:v>
      </x:c>
    </x:row>
    <x:row r="47">
      <x:c r="A47" t="str">
        <x:v>SHP-5046</x:v>
      </x:c>
      <x:c r="B47" s="4" t="n">
        <x:v>45949</x:v>
      </x:c>
      <x:c r="C47" t="str">
        <x:v>South</x:v>
      </x:c>
      <x:c r="D47" t="str">
        <x:v>Supplier J</x:v>
      </x:c>
      <x:c r="E47" t="str">
        <x:v>Electronics</x:v>
      </x:c>
      <x:c r="F47" t="n">
        <x:v>485</x:v>
      </x:c>
      <x:c r="G47" t="n">
        <x:v>440</x:v>
      </x:c>
      <x:c r="H47" t="n">
        <x:v>485</x:v>
      </x:c>
      <x:c r="I47" t="n">
        <x:v>3</x:v>
      </x:c>
      <x:c r="J47" t="n">
        <x:v>5</x:v>
      </x:c>
      <x:c r="K47" t="str">
        <x:v>No</x:v>
      </x:c>
      <x:c r="L47" s="5" t="n">
        <x:v>0.9072164948453608</x:v>
      </x:c>
      <x:c r="M47" t="n">
        <x:v>45</x:v>
      </x:c>
      <x:c r="N47" s="6" t="n">
        <x:v>1555</x:v>
      </x:c>
    </x:row>
    <x:row r="48">
      <x:c r="A48" t="str">
        <x:v>SHP-5047</x:v>
      </x:c>
      <x:c r="B48" s="4" t="n">
        <x:v>45987</x:v>
      </x:c>
      <x:c r="C48" t="str">
        <x:v>Central</x:v>
      </x:c>
      <x:c r="D48" t="str">
        <x:v>Supplier C</x:v>
      </x:c>
      <x:c r="E48" t="str">
        <x:v>Medical</x:v>
      </x:c>
      <x:c r="F48" t="n">
        <x:v>102</x:v>
      </x:c>
      <x:c r="G48" t="n">
        <x:v>88</x:v>
      </x:c>
      <x:c r="H48" t="n">
        <x:v>120</x:v>
      </x:c>
      <x:c r="I48" t="n">
        <x:v>4</x:v>
      </x:c>
      <x:c r="J48" t="n">
        <x:v>6</x:v>
      </x:c>
      <x:c r="K48" t="str">
        <x:v>No</x:v>
      </x:c>
      <x:c r="L48" s="5" t="n">
        <x:v>0.8627450980392157</x:v>
      </x:c>
      <x:c r="M48" t="n">
        <x:v>32</x:v>
      </x:c>
      <x:c r="N48" s="6" t="n">
        <x:v>1638</x:v>
      </x:c>
    </x:row>
    <x:row r="49">
      <x:c r="A49" t="str">
        <x:v>SHP-5048</x:v>
      </x:c>
      <x:c r="B49" s="4" t="n">
        <x:v>45997</x:v>
      </x:c>
      <x:c r="C49" t="str">
        <x:v>East</x:v>
      </x:c>
      <x:c r="D49" t="str">
        <x:v>Supplier H</x:v>
      </x:c>
      <x:c r="E49" t="str">
        <x:v>Network</x:v>
      </x:c>
      <x:c r="F49" t="n">
        <x:v>139</x:v>
      </x:c>
      <x:c r="G49" t="n">
        <x:v>108</x:v>
      </x:c>
      <x:c r="H49" t="n">
        <x:v>175</x:v>
      </x:c>
      <x:c r="I49" t="n">
        <x:v>5</x:v>
      </x:c>
      <x:c r="J49" t="n">
        <x:v>5</x:v>
      </x:c>
      <x:c r="K49" t="str">
        <x:v>Yes</x:v>
      </x:c>
      <x:c r="L49" s="5" t="n">
        <x:v>0.7769784172661871</x:v>
      </x:c>
      <x:c r="M49" t="n">
        <x:v>67</x:v>
      </x:c>
      <x:c r="N49" s="6" t="n">
        <x:v>1721</x:v>
      </x:c>
    </x:row>
    <x:row r="50">
      <x:c r="A50" t="str">
        <x:v>SHP-5049</x:v>
      </x:c>
      <x:c r="B50" s="4" t="n">
        <x:v>45670</x:v>
      </x:c>
      <x:c r="C50" t="str">
        <x:v>West</x:v>
      </x:c>
      <x:c r="D50" t="str">
        <x:v>Supplier A</x:v>
      </x:c>
      <x:c r="E50" t="str">
        <x:v>Industrial</x:v>
      </x:c>
      <x:c r="F50" t="n">
        <x:v>176</x:v>
      </x:c>
      <x:c r="G50" t="n">
        <x:v>176</x:v>
      </x:c>
      <x:c r="H50" t="n">
        <x:v>230</x:v>
      </x:c>
      <x:c r="I50" t="n">
        <x:v>6</x:v>
      </x:c>
      <x:c r="J50" t="n">
        <x:v>9</x:v>
      </x:c>
      <x:c r="K50" t="str">
        <x:v>No</x:v>
      </x:c>
      <x:c r="L50" s="5" t="n">
        <x:v>1</x:v>
      </x:c>
      <x:c r="M50" t="n">
        <x:v>54</x:v>
      </x:c>
      <x:c r="N50" s="6" t="n">
        <x:v>1804</x:v>
      </x:c>
    </x:row>
    <x:row r="51">
      <x:c r="A51" t="str">
        <x:v>SHP-5050</x:v>
      </x:c>
      <x:c r="B51" s="4" t="n">
        <x:v>45708</x:v>
      </x:c>
      <x:c r="C51" t="str">
        <x:v>South</x:v>
      </x:c>
      <x:c r="D51" t="str">
        <x:v>Supplier F</x:v>
      </x:c>
      <x:c r="E51" t="str">
        <x:v>Consumer</x:v>
      </x:c>
      <x:c r="F51" t="n">
        <x:v>213</x:v>
      </x:c>
      <x:c r="G51" t="n">
        <x:v>196</x:v>
      </x:c>
      <x:c r="H51" t="n">
        <x:v>159</x:v>
      </x:c>
      <x:c r="I51" t="n">
        <x:v>7</x:v>
      </x:c>
      <x:c r="J51" t="n">
        <x:v>8</x:v>
      </x:c>
      <x:c r="K51" t="str">
        <x:v>No</x:v>
      </x:c>
      <x:c r="L51" s="5" t="n">
        <x:v>0.92018779342723</x:v>
      </x:c>
      <x:c r="M51" t="n">
        <x:v>37</x:v>
      </x:c>
      <x:c r="N51" s="6" t="n">
        <x:v>1887</x:v>
      </x:c>
    </x:row>
    <x:row r="52">
      <x:c r="A52" t="str">
        <x:v>SHP-5051</x:v>
      </x:c>
      <x:c r="B52" s="4" t="n">
        <x:v>45743</x:v>
      </x:c>
      <x:c r="C52" t="str">
        <x:v>Central</x:v>
      </x:c>
      <x:c r="D52" t="str">
        <x:v>Supplier K</x:v>
      </x:c>
      <x:c r="E52" t="str">
        <x:v>Electronics</x:v>
      </x:c>
      <x:c r="F52" t="n">
        <x:v>250</x:v>
      </x:c>
      <x:c r="G52" t="n">
        <x:v>216</x:v>
      </x:c>
      <x:c r="H52" t="n">
        <x:v>214</x:v>
      </x:c>
      <x:c r="I52" t="n">
        <x:v>3</x:v>
      </x:c>
      <x:c r="J52" t="n">
        <x:v>2</x:v>
      </x:c>
      <x:c r="K52" t="str">
        <x:v>Yes</x:v>
      </x:c>
      <x:c r="L52" s="5" t="n">
        <x:v>0.864</x:v>
      </x:c>
      <x:c r="M52" t="n">
        <x:v>2</x:v>
      </x:c>
      <x:c r="N52" s="6" t="n">
        <x:v>1970</x:v>
      </x:c>
    </x:row>
    <x:row r="53">
      <x:c r="A53" t="str">
        <x:v>SHP-5052</x:v>
      </x:c>
      <x:c r="B53" s="4" t="n">
        <x:v>45754</x:v>
      </x:c>
      <x:c r="C53" t="str">
        <x:v>East</x:v>
      </x:c>
      <x:c r="D53" t="str">
        <x:v>Supplier D</x:v>
      </x:c>
      <x:c r="E53" t="str">
        <x:v>Medical</x:v>
      </x:c>
      <x:c r="F53" t="n">
        <x:v>287</x:v>
      </x:c>
      <x:c r="G53" t="n">
        <x:v>284</x:v>
      </x:c>
      <x:c r="H53" t="n">
        <x:v>269</x:v>
      </x:c>
      <x:c r="I53" t="n">
        <x:v>4</x:v>
      </x:c>
      <x:c r="J53" t="n">
        <x:v>3</x:v>
      </x:c>
      <x:c r="K53" t="str">
        <x:v>Yes</x:v>
      </x:c>
      <x:c r="L53" s="5" t="n">
        <x:v>0.9895470383275261</x:v>
      </x:c>
      <x:c r="M53" t="n">
        <x:v>15</x:v>
      </x:c>
      <x:c r="N53" s="6" t="n">
        <x:v>2053</x:v>
      </x:c>
    </x:row>
    <x:row r="54">
      <x:c r="A54" t="str">
        <x:v>SHP-5053</x:v>
      </x:c>
      <x:c r="B54" s="4" t="n">
        <x:v>45791</x:v>
      </x:c>
      <x:c r="C54" t="str">
        <x:v>West</x:v>
      </x:c>
      <x:c r="D54" t="str">
        <x:v>Supplier I</x:v>
      </x:c>
      <x:c r="E54" t="str">
        <x:v>Network</x:v>
      </x:c>
      <x:c r="F54" t="n">
        <x:v>324</x:v>
      </x:c>
      <x:c r="G54" t="n">
        <x:v>304</x:v>
      </x:c>
      <x:c r="H54" t="n">
        <x:v>324</x:v>
      </x:c>
      <x:c r="I54" t="n">
        <x:v>5</x:v>
      </x:c>
      <x:c r="J54" t="n">
        <x:v>9</x:v>
      </x:c>
      <x:c r="K54" t="str">
        <x:v>No</x:v>
      </x:c>
      <x:c r="L54" s="5" t="n">
        <x:v>0.9382716049382716</x:v>
      </x:c>
      <x:c r="M54" t="n">
        <x:v>20</x:v>
      </x:c>
      <x:c r="N54" s="6" t="n">
        <x:v>2136</x:v>
      </x:c>
    </x:row>
    <x:row r="55">
      <x:c r="A55" t="str">
        <x:v>SHP-5054</x:v>
      </x:c>
      <x:c r="B55" s="4" t="n">
        <x:v>45829</x:v>
      </x:c>
      <x:c r="C55" t="str">
        <x:v>South</x:v>
      </x:c>
      <x:c r="D55" t="str">
        <x:v>Supplier B</x:v>
      </x:c>
      <x:c r="E55" t="str">
        <x:v>Industrial</x:v>
      </x:c>
      <x:c r="F55" t="n">
        <x:v>361</x:v>
      </x:c>
      <x:c r="G55" t="n">
        <x:v>324</x:v>
      </x:c>
      <x:c r="H55" t="n">
        <x:v>379</x:v>
      </x:c>
      <x:c r="I55" t="n">
        <x:v>6</x:v>
      </x:c>
      <x:c r="J55" t="n">
        <x:v>10</x:v>
      </x:c>
      <x:c r="K55" t="str">
        <x:v>No</x:v>
      </x:c>
      <x:c r="L55" s="5" t="n">
        <x:v>0.8975069252077562</x:v>
      </x:c>
      <x:c r="M55" t="n">
        <x:v>55</x:v>
      </x:c>
      <x:c r="N55" s="6" t="n">
        <x:v>2219</x:v>
      </x:c>
    </x:row>
    <x:row r="56">
      <x:c r="A56" t="str">
        <x:v>SHP-5055</x:v>
      </x:c>
      <x:c r="B56" s="4" t="n">
        <x:v>45839</x:v>
      </x:c>
      <x:c r="C56" t="str">
        <x:v>Central</x:v>
      </x:c>
      <x:c r="D56" t="str">
        <x:v>Supplier G</x:v>
      </x:c>
      <x:c r="E56" t="str">
        <x:v>Consumer</x:v>
      </x:c>
      <x:c r="F56" t="n">
        <x:v>398</x:v>
      </x:c>
      <x:c r="G56" t="n">
        <x:v>392</x:v>
      </x:c>
      <x:c r="H56" t="n">
        <x:v>434</x:v>
      </x:c>
      <x:c r="I56" t="n">
        <x:v>7</x:v>
      </x:c>
      <x:c r="J56" t="n">
        <x:v>9</x:v>
      </x:c>
      <x:c r="K56" t="str">
        <x:v>No</x:v>
      </x:c>
      <x:c r="L56" s="5" t="n">
        <x:v>0.9849246231155779</x:v>
      </x:c>
      <x:c r="M56" t="n">
        <x:v>42</x:v>
      </x:c>
      <x:c r="N56" s="6" t="n">
        <x:v>2302</x:v>
      </x:c>
    </x:row>
    <x:row r="57">
      <x:c r="A57" t="str">
        <x:v>SHP-5056</x:v>
      </x:c>
      <x:c r="B57" s="4" t="n">
        <x:v>45877</x:v>
      </x:c>
      <x:c r="C57" t="str">
        <x:v>East</x:v>
      </x:c>
      <x:c r="D57" t="str">
        <x:v>Supplier L</x:v>
      </x:c>
      <x:c r="E57" t="str">
        <x:v>Electronics</x:v>
      </x:c>
      <x:c r="F57" t="n">
        <x:v>435</x:v>
      </x:c>
      <x:c r="G57" t="n">
        <x:v>412</x:v>
      </x:c>
      <x:c r="H57" t="n">
        <x:v>489</x:v>
      </x:c>
      <x:c r="I57" t="n">
        <x:v>3</x:v>
      </x:c>
      <x:c r="J57" t="n">
        <x:v>3</x:v>
      </x:c>
      <x:c r="K57" t="str">
        <x:v>Yes</x:v>
      </x:c>
      <x:c r="L57" s="5" t="n">
        <x:v>0.9471264367816092</x:v>
      </x:c>
      <x:c r="M57" t="n">
        <x:v>77</x:v>
      </x:c>
      <x:c r="N57" s="6" t="n">
        <x:v>2385</x:v>
      </x:c>
    </x:row>
    <x:row r="58">
      <x:c r="A58" t="str">
        <x:v>SHP-5057</x:v>
      </x:c>
      <x:c r="B58" s="4" t="n">
        <x:v>45915</x:v>
      </x:c>
      <x:c r="C58" t="str">
        <x:v>West</x:v>
      </x:c>
      <x:c r="D58" t="str">
        <x:v>Supplier E</x:v>
      </x:c>
      <x:c r="E58" t="str">
        <x:v>Medical</x:v>
      </x:c>
      <x:c r="F58" t="n">
        <x:v>472</x:v>
      </x:c>
      <x:c r="G58" t="n">
        <x:v>432</x:v>
      </x:c>
      <x:c r="H58" t="n">
        <x:v>418</x:v>
      </x:c>
      <x:c r="I58" t="n">
        <x:v>4</x:v>
      </x:c>
      <x:c r="J58" t="n">
        <x:v>4</x:v>
      </x:c>
      <x:c r="K58" t="str">
        <x:v>Yes</x:v>
      </x:c>
      <x:c r="L58" s="5" t="n">
        <x:v>0.9152542372881356</x:v>
      </x:c>
      <x:c r="M58" t="n">
        <x:v>14</x:v>
      </x:c>
      <x:c r="N58" s="6" t="n">
        <x:v>2468</x:v>
      </x:c>
    </x:row>
    <x:row r="59">
      <x:c r="A59" t="str">
        <x:v>SHP-5058</x:v>
      </x:c>
      <x:c r="B59" s="4" t="n">
        <x:v>45952</x:v>
      </x:c>
      <x:c r="C59" t="str">
        <x:v>South</x:v>
      </x:c>
      <x:c r="D59" t="str">
        <x:v>Supplier J</x:v>
      </x:c>
      <x:c r="E59" t="str">
        <x:v>Network</x:v>
      </x:c>
      <x:c r="F59" t="n">
        <x:v>89</x:v>
      </x:c>
      <x:c r="G59" t="n">
        <x:v>80</x:v>
      </x:c>
      <x:c r="H59" t="n">
        <x:v>53</x:v>
      </x:c>
      <x:c r="I59" t="n">
        <x:v>5</x:v>
      </x:c>
      <x:c r="J59" t="n">
        <x:v>3</x:v>
      </x:c>
      <x:c r="K59" t="str">
        <x:v>Yes</x:v>
      </x:c>
      <x:c r="L59" s="5" t="n">
        <x:v>0.898876404494382</x:v>
      </x:c>
      <x:c r="M59" t="n">
        <x:v>27</x:v>
      </x:c>
      <x:c r="N59" s="6" t="n">
        <x:v>2551</x:v>
      </x:c>
    </x:row>
    <x:row r="60">
      <x:c r="A60" t="str">
        <x:v>SHP-5059</x:v>
      </x:c>
      <x:c r="B60" s="4" t="n">
        <x:v>45963</x:v>
      </x:c>
      <x:c r="C60" t="str">
        <x:v>Central</x:v>
      </x:c>
      <x:c r="D60" t="str">
        <x:v>Supplier C</x:v>
      </x:c>
      <x:c r="E60" t="str">
        <x:v>Industrial</x:v>
      </x:c>
      <x:c r="F60" t="n">
        <x:v>126</x:v>
      </x:c>
      <x:c r="G60" t="n">
        <x:v>100</x:v>
      </x:c>
      <x:c r="H60" t="n">
        <x:v>108</x:v>
      </x:c>
      <x:c r="I60" t="n">
        <x:v>6</x:v>
      </x:c>
      <x:c r="J60" t="n">
        <x:v>4</x:v>
      </x:c>
      <x:c r="K60" t="str">
        <x:v>Yes</x:v>
      </x:c>
      <x:c r="L60" s="5" t="n">
        <x:v>0.7936507936507936</x:v>
      </x:c>
      <x:c r="M60" t="n">
        <x:v>8</x:v>
      </x:c>
      <x:c r="N60" s="6" t="n">
        <x:v>2634</x:v>
      </x:c>
    </x:row>
    <x:row r="61">
      <x:c r="A61" t="str">
        <x:v>SHP-5060</x:v>
      </x:c>
      <x:c r="B61" s="4" t="n">
        <x:v>46000</x:v>
      </x:c>
      <x:c r="C61" t="str">
        <x:v>East</x:v>
      </x:c>
      <x:c r="D61" t="str">
        <x:v>Supplier H</x:v>
      </x:c>
      <x:c r="E61" t="str">
        <x:v>Consumer</x:v>
      </x:c>
      <x:c r="F61" t="n">
        <x:v>163</x:v>
      </x:c>
      <x:c r="G61" t="n">
        <x:v>120</x:v>
      </x:c>
      <x:c r="H61" t="n">
        <x:v>163</x:v>
      </x:c>
      <x:c r="I61" t="n">
        <x:v>7</x:v>
      </x:c>
      <x:c r="J61" t="n">
        <x:v>10</x:v>
      </x:c>
      <x:c r="K61" t="str">
        <x:v>No</x:v>
      </x:c>
      <x:c r="L61" s="5" t="n">
        <x:v>0.7361963190184049</x:v>
      </x:c>
      <x:c r="M61" t="n">
        <x:v>43</x:v>
      </x:c>
      <x:c r="N61" s="6" t="n">
        <x:v>2717</x:v>
      </x:c>
    </x:row>
    <x:row r="62">
      <x:c r="A62" t="str">
        <x:v>SHP-5061</x:v>
      </x:c>
      <x:c r="B62" s="4" t="n">
        <x:v>45673</x:v>
      </x:c>
      <x:c r="C62" t="str">
        <x:v>West</x:v>
      </x:c>
      <x:c r="D62" t="str">
        <x:v>Supplier A</x:v>
      </x:c>
      <x:c r="E62" t="str">
        <x:v>Electronics</x:v>
      </x:c>
      <x:c r="F62" t="n">
        <x:v>200</x:v>
      </x:c>
      <x:c r="G62" t="n">
        <x:v>188</x:v>
      </x:c>
      <x:c r="H62" t="n">
        <x:v>218</x:v>
      </x:c>
      <x:c r="I62" t="n">
        <x:v>3</x:v>
      </x:c>
      <x:c r="J62" t="n">
        <x:v>2</x:v>
      </x:c>
      <x:c r="K62" t="str">
        <x:v>Yes</x:v>
      </x:c>
      <x:c r="L62" s="5" t="n">
        <x:v>0.94</x:v>
      </x:c>
      <x:c r="M62" t="n">
        <x:v>30</x:v>
      </x:c>
      <x:c r="N62" s="6" t="n">
        <x:v>2800</x:v>
      </x:c>
    </x:row>
    <x:row r="63">
      <x:c r="A63" t="str">
        <x:v>SHP-5062</x:v>
      </x:c>
      <x:c r="B63" s="4" t="n">
        <x:v>45711</x:v>
      </x:c>
      <x:c r="C63" t="str">
        <x:v>South</x:v>
      </x:c>
      <x:c r="D63" t="str">
        <x:v>Supplier F</x:v>
      </x:c>
      <x:c r="E63" t="str">
        <x:v>Medical</x:v>
      </x:c>
      <x:c r="F63" t="n">
        <x:v>237</x:v>
      </x:c>
      <x:c r="G63" t="n">
        <x:v>208</x:v>
      </x:c>
      <x:c r="H63" t="n">
        <x:v>273</x:v>
      </x:c>
      <x:c r="I63" t="n">
        <x:v>4</x:v>
      </x:c>
      <x:c r="J63" t="n">
        <x:v>8</x:v>
      </x:c>
      <x:c r="K63" t="str">
        <x:v>No</x:v>
      </x:c>
      <x:c r="L63" s="5" t="n">
        <x:v>0.8776371308016878</x:v>
      </x:c>
      <x:c r="M63" t="n">
        <x:v>65</x:v>
      </x:c>
      <x:c r="N63" s="6" t="n">
        <x:v>2883</x:v>
      </x:c>
    </x:row>
    <x:row r="64">
      <x:c r="A64" t="str">
        <x:v>SHP-5063</x:v>
      </x:c>
      <x:c r="B64" s="4" t="n">
        <x:v>45719</x:v>
      </x:c>
      <x:c r="C64" t="str">
        <x:v>Central</x:v>
      </x:c>
      <x:c r="D64" t="str">
        <x:v>Supplier K</x:v>
      </x:c>
      <x:c r="E64" t="str">
        <x:v>Network</x:v>
      </x:c>
      <x:c r="F64" t="n">
        <x:v>274</x:v>
      </x:c>
      <x:c r="G64" t="n">
        <x:v>228</x:v>
      </x:c>
      <x:c r="H64" t="n">
        <x:v>328</x:v>
      </x:c>
      <x:c r="I64" t="n">
        <x:v>5</x:v>
      </x:c>
      <x:c r="J64" t="n">
        <x:v>7</x:v>
      </x:c>
      <x:c r="K64" t="str">
        <x:v>No</x:v>
      </x:c>
      <x:c r="L64" s="5" t="n">
        <x:v>0.8321167883211679</x:v>
      </x:c>
      <x:c r="M64" t="n">
        <x:v>100</x:v>
      </x:c>
      <x:c r="N64" s="6" t="n">
        <x:v>2966</x:v>
      </x:c>
    </x:row>
    <x:row r="65">
      <x:c r="A65" t="str">
        <x:v>SHP-5064</x:v>
      </x:c>
      <x:c r="B65" s="4" t="n">
        <x:v>45757</x:v>
      </x:c>
      <x:c r="C65" t="str">
        <x:v>East</x:v>
      </x:c>
      <x:c r="D65" t="str">
        <x:v>Supplier D</x:v>
      </x:c>
      <x:c r="E65" t="str">
        <x:v>Industrial</x:v>
      </x:c>
      <x:c r="F65" t="n">
        <x:v>311</x:v>
      </x:c>
      <x:c r="G65" t="n">
        <x:v>296</x:v>
      </x:c>
      <x:c r="H65" t="n">
        <x:v>257</x:v>
      </x:c>
      <x:c r="I65" t="n">
        <x:v>6</x:v>
      </x:c>
      <x:c r="J65" t="n">
        <x:v>8</x:v>
      </x:c>
      <x:c r="K65" t="str">
        <x:v>No</x:v>
      </x:c>
      <x:c r="L65" s="5" t="n">
        <x:v>0.9517684887459807</x:v>
      </x:c>
      <x:c r="M65" t="n">
        <x:v>39</x:v>
      </x:c>
      <x:c r="N65" s="6" t="n">
        <x:v>449</x:v>
      </x:c>
    </x:row>
    <x:row r="66">
      <x:c r="A66" t="str">
        <x:v>SHP-5065</x:v>
      </x:c>
      <x:c r="B66" s="4" t="n">
        <x:v>45794</x:v>
      </x:c>
      <x:c r="C66" t="str">
        <x:v>West</x:v>
      </x:c>
      <x:c r="D66" t="str">
        <x:v>Supplier I</x:v>
      </x:c>
      <x:c r="E66" t="str">
        <x:v>Consumer</x:v>
      </x:c>
      <x:c r="F66" t="n">
        <x:v>348</x:v>
      </x:c>
      <x:c r="G66" t="n">
        <x:v>316</x:v>
      </x:c>
      <x:c r="H66" t="n">
        <x:v>312</x:v>
      </x:c>
      <x:c r="I66" t="n">
        <x:v>7</x:v>
      </x:c>
      <x:c r="J66" t="n">
        <x:v>7</x:v>
      </x:c>
      <x:c r="K66" t="str">
        <x:v>Yes</x:v>
      </x:c>
      <x:c r="L66" s="5" t="n">
        <x:v>0.9080459770114943</x:v>
      </x:c>
      <x:c r="M66" t="n">
        <x:v>4</x:v>
      </x:c>
      <x:c r="N66" s="6" t="n">
        <x:v>532</x:v>
      </x:c>
    </x:row>
    <x:row r="67">
      <x:c r="A67" t="str">
        <x:v>SHP-5066</x:v>
      </x:c>
      <x:c r="B67" s="4" t="n">
        <x:v>45832</x:v>
      </x:c>
      <x:c r="C67" t="str">
        <x:v>South</x:v>
      </x:c>
      <x:c r="D67" t="str">
        <x:v>Supplier B</x:v>
      </x:c>
      <x:c r="E67" t="str">
        <x:v>Electronics</x:v>
      </x:c>
      <x:c r="F67" t="n">
        <x:v>385</x:v>
      </x:c>
      <x:c r="G67" t="n">
        <x:v>384</x:v>
      </x:c>
      <x:c r="H67" t="n">
        <x:v>367</x:v>
      </x:c>
      <x:c r="I67" t="n">
        <x:v>3</x:v>
      </x:c>
      <x:c r="J67" t="n">
        <x:v>3</x:v>
      </x:c>
      <x:c r="K67" t="str">
        <x:v>Yes</x:v>
      </x:c>
      <x:c r="L67" s="5" t="n">
        <x:v>0.9974025974025974</x:v>
      </x:c>
      <x:c r="M67" t="n">
        <x:v>17</x:v>
      </x:c>
      <x:c r="N67" s="6" t="n">
        <x:v>615</x:v>
      </x:c>
    </x:row>
    <x:row r="68">
      <x:c r="A68" t="str">
        <x:v>SHP-5067</x:v>
      </x:c>
      <x:c r="B68" s="4" t="n">
        <x:v>45842</x:v>
      </x:c>
      <x:c r="C68" t="str">
        <x:v>Central</x:v>
      </x:c>
      <x:c r="D68" t="str">
        <x:v>Supplier G</x:v>
      </x:c>
      <x:c r="E68" t="str">
        <x:v>Medical</x:v>
      </x:c>
      <x:c r="F68" t="n">
        <x:v>422</x:v>
      </x:c>
      <x:c r="G68" t="n">
        <x:v>404</x:v>
      </x:c>
      <x:c r="H68" t="n">
        <x:v>422</x:v>
      </x:c>
      <x:c r="I68" t="n">
        <x:v>4</x:v>
      </x:c>
      <x:c r="J68" t="n">
        <x:v>2</x:v>
      </x:c>
      <x:c r="K68" t="str">
        <x:v>Yes</x:v>
      </x:c>
      <x:c r="L68" s="5" t="n">
        <x:v>0.957345971563981</x:v>
      </x:c>
      <x:c r="M68" t="n">
        <x:v>18</x:v>
      </x:c>
      <x:c r="N68" s="6" t="n">
        <x:v>698</x:v>
      </x:c>
    </x:row>
    <x:row r="69">
      <x:c r="A69" t="str">
        <x:v>SHP-5068</x:v>
      </x:c>
      <x:c r="B69" s="4" t="n">
        <x:v>45880</x:v>
      </x:c>
      <x:c r="C69" t="str">
        <x:v>East</x:v>
      </x:c>
      <x:c r="D69" t="str">
        <x:v>Supplier L</x:v>
      </x:c>
      <x:c r="E69" t="str">
        <x:v>Network</x:v>
      </x:c>
      <x:c r="F69" t="n">
        <x:v>459</x:v>
      </x:c>
      <x:c r="G69" t="n">
        <x:v>424</x:v>
      </x:c>
      <x:c r="H69" t="n">
        <x:v>477</x:v>
      </x:c>
      <x:c r="I69" t="n">
        <x:v>5</x:v>
      </x:c>
      <x:c r="J69" t="n">
        <x:v>8</x:v>
      </x:c>
      <x:c r="K69" t="str">
        <x:v>No</x:v>
      </x:c>
      <x:c r="L69" s="5" t="n">
        <x:v>0.9237472766884531</x:v>
      </x:c>
      <x:c r="M69" t="n">
        <x:v>53</x:v>
      </x:c>
      <x:c r="N69" s="6" t="n">
        <x:v>781</x:v>
      </x:c>
    </x:row>
    <x:row r="70">
      <x:c r="A70" t="str">
        <x:v>SHP-5069</x:v>
      </x:c>
      <x:c r="B70" s="4" t="n">
        <x:v>45918</x:v>
      </x:c>
      <x:c r="C70" t="str">
        <x:v>West</x:v>
      </x:c>
      <x:c r="D70" t="str">
        <x:v>Supplier E</x:v>
      </x:c>
      <x:c r="E70" t="str">
        <x:v>Industrial</x:v>
      </x:c>
      <x:c r="F70" t="n">
        <x:v>496</x:v>
      </x:c>
      <x:c r="G70" t="n">
        <x:v>492</x:v>
      </x:c>
      <x:c r="H70" t="n">
        <x:v>532</x:v>
      </x:c>
      <x:c r="I70" t="n">
        <x:v>6</x:v>
      </x:c>
      <x:c r="J70" t="n">
        <x:v>9</x:v>
      </x:c>
      <x:c r="K70" t="str">
        <x:v>No</x:v>
      </x:c>
      <x:c r="L70" s="5" t="n">
        <x:v>0.9919354838709677</x:v>
      </x:c>
      <x:c r="M70" t="n">
        <x:v>40</x:v>
      </x:c>
      <x:c r="N70" s="6" t="n">
        <x:v>864</x:v>
      </x:c>
    </x:row>
    <x:row r="71">
      <x:c r="A71" t="str">
        <x:v>SHP-5070</x:v>
      </x:c>
      <x:c r="B71" s="4" t="n">
        <x:v>45955</x:v>
      </x:c>
      <x:c r="C71" t="str">
        <x:v>South</x:v>
      </x:c>
      <x:c r="D71" t="str">
        <x:v>Supplier J</x:v>
      </x:c>
      <x:c r="E71" t="str">
        <x:v>Consumer</x:v>
      </x:c>
      <x:c r="F71" t="n">
        <x:v>113</x:v>
      </x:c>
      <x:c r="G71" t="n">
        <x:v>92</x:v>
      </x:c>
      <x:c r="H71" t="n">
        <x:v>167</x:v>
      </x:c>
      <x:c r="I71" t="n">
        <x:v>7</x:v>
      </x:c>
      <x:c r="J71" t="n">
        <x:v>8</x:v>
      </x:c>
      <x:c r="K71" t="str">
        <x:v>No</x:v>
      </x:c>
      <x:c r="L71" s="5" t="n">
        <x:v>0.8141592920353983</x:v>
      </x:c>
      <x:c r="M71" t="n">
        <x:v>75</x:v>
      </x:c>
      <x:c r="N71" s="6" t="n">
        <x:v>947</x:v>
      </x:c>
    </x:row>
    <x:row r="72">
      <x:c r="A72" t="str">
        <x:v>SHP-5071</x:v>
      </x:c>
      <x:c r="B72" s="4" t="n">
        <x:v>45966</x:v>
      </x:c>
      <x:c r="C72" t="str">
        <x:v>Central</x:v>
      </x:c>
      <x:c r="D72" t="str">
        <x:v>Supplier C</x:v>
      </x:c>
      <x:c r="E72" t="str">
        <x:v>Electronics</x:v>
      </x:c>
      <x:c r="F72" t="n">
        <x:v>150</x:v>
      </x:c>
      <x:c r="G72" t="n">
        <x:v>112</x:v>
      </x:c>
      <x:c r="H72" t="n">
        <x:v>96</x:v>
      </x:c>
      <x:c r="I72" t="n">
        <x:v>3</x:v>
      </x:c>
      <x:c r="J72" t="n">
        <x:v>4</x:v>
      </x:c>
      <x:c r="K72" t="str">
        <x:v>No</x:v>
      </x:c>
      <x:c r="L72" s="5" t="n">
        <x:v>0.7466666666666667</x:v>
      </x:c>
      <x:c r="M72" t="n">
        <x:v>16</x:v>
      </x:c>
      <x:c r="N72" s="6" t="n">
        <x:v>1030</x:v>
      </x:c>
    </x:row>
    <x:row r="73">
      <x:c r="A73" t="str">
        <x:v>SHP-5072</x:v>
      </x:c>
      <x:c r="B73" s="4" t="n">
        <x:v>46003</x:v>
      </x:c>
      <x:c r="C73" t="str">
        <x:v>East</x:v>
      </x:c>
      <x:c r="D73" t="str">
        <x:v>Supplier H</x:v>
      </x:c>
      <x:c r="E73" t="str">
        <x:v>Medical</x:v>
      </x:c>
      <x:c r="F73" t="n">
        <x:v>187</x:v>
      </x:c>
      <x:c r="G73" t="n">
        <x:v>180</x:v>
      </x:c>
      <x:c r="H73" t="n">
        <x:v>151</x:v>
      </x:c>
      <x:c r="I73" t="n">
        <x:v>4</x:v>
      </x:c>
      <x:c r="J73" t="n">
        <x:v>3</x:v>
      </x:c>
      <x:c r="K73" t="str">
        <x:v>Yes</x:v>
      </x:c>
      <x:c r="L73" s="5" t="n">
        <x:v>0.9625668449197861</x:v>
      </x:c>
      <x:c r="M73" t="n">
        <x:v>29</x:v>
      </x:c>
      <x:c r="N73" s="6" t="n">
        <x:v>1113</x:v>
      </x:c>
    </x:row>
    <x:row r="74">
      <x:c r="A74" t="str">
        <x:v>SHP-5073</x:v>
      </x:c>
      <x:c r="B74" s="4" t="n">
        <x:v>45676</x:v>
      </x:c>
      <x:c r="C74" t="str">
        <x:v>West</x:v>
      </x:c>
      <x:c r="D74" t="str">
        <x:v>Supplier A</x:v>
      </x:c>
      <x:c r="E74" t="str">
        <x:v>Network</x:v>
      </x:c>
      <x:c r="F74" t="n">
        <x:v>224</x:v>
      </x:c>
      <x:c r="G74" t="n">
        <x:v>200</x:v>
      </x:c>
      <x:c r="H74" t="n">
        <x:v>206</x:v>
      </x:c>
      <x:c r="I74" t="n">
        <x:v>5</x:v>
      </x:c>
      <x:c r="J74" t="n">
        <x:v>7</x:v>
      </x:c>
      <x:c r="K74" t="str">
        <x:v>No</x:v>
      </x:c>
      <x:c r="L74" s="5" t="n">
        <x:v>0.8928571428571429</x:v>
      </x:c>
      <x:c r="M74" t="n">
        <x:v>6</x:v>
      </x:c>
      <x:c r="N74" s="6" t="n">
        <x:v>1196</x:v>
      </x:c>
    </x:row>
    <x:row r="75">
      <x:c r="A75" t="str">
        <x:v>SHP-5074</x:v>
      </x:c>
      <x:c r="B75" s="4" t="n">
        <x:v>45714</x:v>
      </x:c>
      <x:c r="C75" t="str">
        <x:v>South</x:v>
      </x:c>
      <x:c r="D75" t="str">
        <x:v>Supplier F</x:v>
      </x:c>
      <x:c r="E75" t="str">
        <x:v>Industrial</x:v>
      </x:c>
      <x:c r="F75" t="n">
        <x:v>261</x:v>
      </x:c>
      <x:c r="G75" t="n">
        <x:v>220</x:v>
      </x:c>
      <x:c r="H75" t="n">
        <x:v>261</x:v>
      </x:c>
      <x:c r="I75" t="n">
        <x:v>6</x:v>
      </x:c>
      <x:c r="J75" t="n">
        <x:v>6</x:v>
      </x:c>
      <x:c r="K75" t="str">
        <x:v>Yes</x:v>
      </x:c>
      <x:c r="L75" s="5" t="n">
        <x:v>0.842911877394636</x:v>
      </x:c>
      <x:c r="M75" t="n">
        <x:v>41</x:v>
      </x:c>
      <x:c r="N75" s="6" t="n">
        <x:v>1279</x:v>
      </x:c>
    </x:row>
    <x:row r="76">
      <x:c r="A76" t="str">
        <x:v>SHP-5075</x:v>
      </x:c>
      <x:c r="B76" s="4" t="n">
        <x:v>45722</x:v>
      </x:c>
      <x:c r="C76" t="str">
        <x:v>Central</x:v>
      </x:c>
      <x:c r="D76" t="str">
        <x:v>Supplier K</x:v>
      </x:c>
      <x:c r="E76" t="str">
        <x:v>Consumer</x:v>
      </x:c>
      <x:c r="F76" t="n">
        <x:v>298</x:v>
      </x:c>
      <x:c r="G76" t="n">
        <x:v>288</x:v>
      </x:c>
      <x:c r="H76" t="n">
        <x:v>316</x:v>
      </x:c>
      <x:c r="I76" t="n">
        <x:v>7</x:v>
      </x:c>
      <x:c r="J76" t="n">
        <x:v>5</x:v>
      </x:c>
      <x:c r="K76" t="str">
        <x:v>Yes</x:v>
      </x:c>
      <x:c r="L76" s="5" t="n">
        <x:v>0.9664429530201343</x:v>
      </x:c>
      <x:c r="M76" t="n">
        <x:v>28</x:v>
      </x:c>
      <x:c r="N76" s="6" t="n">
        <x:v>1362</x:v>
      </x:c>
    </x:row>
    <x:row r="77">
      <x:c r="A77" t="str">
        <x:v>SHP-5076</x:v>
      </x:c>
      <x:c r="B77" s="4" t="n">
        <x:v>45760</x:v>
      </x:c>
      <x:c r="C77" t="str">
        <x:v>East</x:v>
      </x:c>
      <x:c r="D77" t="str">
        <x:v>Supplier D</x:v>
      </x:c>
      <x:c r="E77" t="str">
        <x:v>Electronics</x:v>
      </x:c>
      <x:c r="F77" t="n">
        <x:v>335</x:v>
      </x:c>
      <x:c r="G77" t="n">
        <x:v>308</x:v>
      </x:c>
      <x:c r="H77" t="n">
        <x:v>371</x:v>
      </x:c>
      <x:c r="I77" t="n">
        <x:v>3</x:v>
      </x:c>
      <x:c r="J77" t="n">
        <x:v>1</x:v>
      </x:c>
      <x:c r="K77" t="str">
        <x:v>Yes</x:v>
      </x:c>
      <x:c r="L77" s="5" t="n">
        <x:v>0.9194029850746268</x:v>
      </x:c>
      <x:c r="M77" t="n">
        <x:v>63</x:v>
      </x:c>
      <x:c r="N77" s="6" t="n">
        <x:v>1445</x:v>
      </x:c>
    </x:row>
    <x:row r="78">
      <x:c r="A78" t="str">
        <x:v>SHP-5077</x:v>
      </x:c>
      <x:c r="B78" s="4" t="n">
        <x:v>45797</x:v>
      </x:c>
      <x:c r="C78" t="str">
        <x:v>West</x:v>
      </x:c>
      <x:c r="D78" t="str">
        <x:v>Supplier I</x:v>
      </x:c>
      <x:c r="E78" t="str">
        <x:v>Medical</x:v>
      </x:c>
      <x:c r="F78" t="n">
        <x:v>372</x:v>
      </x:c>
      <x:c r="G78" t="n">
        <x:v>328</x:v>
      </x:c>
      <x:c r="H78" t="n">
        <x:v>426</x:v>
      </x:c>
      <x:c r="I78" t="n">
        <x:v>4</x:v>
      </x:c>
      <x:c r="J78" t="n">
        <x:v>7</x:v>
      </x:c>
      <x:c r="K78" t="str">
        <x:v>No</x:v>
      </x:c>
      <x:c r="L78" s="5" t="n">
        <x:v>0.8817204301075269</x:v>
      </x:c>
      <x:c r="M78" t="n">
        <x:v>98</x:v>
      </x:c>
      <x:c r="N78" s="6" t="n">
        <x:v>1528</x:v>
      </x:c>
    </x:row>
    <x:row r="79">
      <x:c r="A79" t="str">
        <x:v>SHP-5078</x:v>
      </x:c>
      <x:c r="B79" s="4" t="n">
        <x:v>45835</x:v>
      </x:c>
      <x:c r="C79" t="str">
        <x:v>South</x:v>
      </x:c>
      <x:c r="D79" t="str">
        <x:v>Supplier B</x:v>
      </x:c>
      <x:c r="E79" t="str">
        <x:v>Network</x:v>
      </x:c>
      <x:c r="F79" t="n">
        <x:v>409</x:v>
      </x:c>
      <x:c r="G79" t="n">
        <x:v>396</x:v>
      </x:c>
      <x:c r="H79" t="n">
        <x:v>355</x:v>
      </x:c>
      <x:c r="I79" t="n">
        <x:v>5</x:v>
      </x:c>
      <x:c r="J79" t="n">
        <x:v>8</x:v>
      </x:c>
      <x:c r="K79" t="str">
        <x:v>No</x:v>
      </x:c>
      <x:c r="L79" s="5" t="n">
        <x:v>0.9682151589242054</x:v>
      </x:c>
      <x:c r="M79" t="n">
        <x:v>41</x:v>
      </x:c>
      <x:c r="N79" s="6" t="n">
        <x:v>1611</x:v>
      </x:c>
    </x:row>
    <x:row r="80">
      <x:c r="A80" t="str">
        <x:v>SHP-5079</x:v>
      </x:c>
      <x:c r="B80" s="4" t="n">
        <x:v>45845</x:v>
      </x:c>
      <x:c r="C80" t="str">
        <x:v>Central</x:v>
      </x:c>
      <x:c r="D80" t="str">
        <x:v>Supplier G</x:v>
      </x:c>
      <x:c r="E80" t="str">
        <x:v>Industrial</x:v>
      </x:c>
      <x:c r="F80" t="n">
        <x:v>446</x:v>
      </x:c>
      <x:c r="G80" t="n">
        <x:v>416</x:v>
      </x:c>
      <x:c r="H80" t="n">
        <x:v>410</x:v>
      </x:c>
      <x:c r="I80" t="n">
        <x:v>6</x:v>
      </x:c>
      <x:c r="J80" t="n">
        <x:v>7</x:v>
      </x:c>
      <x:c r="K80" t="str">
        <x:v>No</x:v>
      </x:c>
      <x:c r="L80" s="5" t="n">
        <x:v>0.9327354260089686</x:v>
      </x:c>
      <x:c r="M80" t="n">
        <x:v>6</x:v>
      </x:c>
      <x:c r="N80" s="6" t="n">
        <x:v>1694</x:v>
      </x:c>
    </x:row>
    <x:row r="81">
      <x:c r="A81" t="str">
        <x:v>SHP-5080</x:v>
      </x:c>
      <x:c r="B81" s="4" t="n">
        <x:v>45883</x:v>
      </x:c>
      <x:c r="C81" t="str">
        <x:v>East</x:v>
      </x:c>
      <x:c r="D81" t="str">
        <x:v>Supplier L</x:v>
      </x:c>
      <x:c r="E81" t="str">
        <x:v>Consumer</x:v>
      </x:c>
      <x:c r="F81" t="n">
        <x:v>483</x:v>
      </x:c>
      <x:c r="G81" t="n">
        <x:v>436</x:v>
      </x:c>
      <x:c r="H81" t="n">
        <x:v>465</x:v>
      </x:c>
      <x:c r="I81" t="n">
        <x:v>7</x:v>
      </x:c>
      <x:c r="J81" t="n">
        <x:v>6</x:v>
      </x:c>
      <x:c r="K81" t="str">
        <x:v>Yes</x:v>
      </x:c>
      <x:c r="L81" s="5" t="n">
        <x:v>0.9026915113871635</x:v>
      </x:c>
      <x:c r="M81" t="n">
        <x:v>29</x:v>
      </x:c>
      <x:c r="N81" s="6" t="n">
        <x:v>1777</x:v>
      </x:c>
    </x:row>
    <x:row r="82">
      <x:c r="A82" t="str">
        <x:v>SHP-5081</x:v>
      </x:c>
      <x:c r="B82" s="4" t="n">
        <x:v>45921</x:v>
      </x:c>
      <x:c r="C82" t="str">
        <x:v>West</x:v>
      </x:c>
      <x:c r="D82" t="str">
        <x:v>Supplier E</x:v>
      </x:c>
      <x:c r="E82" t="str">
        <x:v>Electronics</x:v>
      </x:c>
      <x:c r="F82" t="n">
        <x:v>100</x:v>
      </x:c>
      <x:c r="G82" t="n">
        <x:v>84</x:v>
      </x:c>
      <x:c r="H82" t="n">
        <x:v>100</x:v>
      </x:c>
      <x:c r="I82" t="n">
        <x:v>3</x:v>
      </x:c>
      <x:c r="J82" t="n">
        <x:v>2</x:v>
      </x:c>
      <x:c r="K82" t="str">
        <x:v>Yes</x:v>
      </x:c>
      <x:c r="L82" s="5" t="n">
        <x:v>0.84</x:v>
      </x:c>
      <x:c r="M82" t="n">
        <x:v>16</x:v>
      </x:c>
      <x:c r="N82" s="6" t="n">
        <x:v>1860</x:v>
      </x:c>
    </x:row>
    <x:row r="83">
      <x:c r="A83" t="str">
        <x:v>SHP-5082</x:v>
      </x:c>
      <x:c r="B83" s="4" t="n">
        <x:v>45931</x:v>
      </x:c>
      <x:c r="C83" t="str">
        <x:v>South</x:v>
      </x:c>
      <x:c r="D83" t="str">
        <x:v>Supplier J</x:v>
      </x:c>
      <x:c r="E83" t="str">
        <x:v>Medical</x:v>
      </x:c>
      <x:c r="F83" t="n">
        <x:v>137</x:v>
      </x:c>
      <x:c r="G83" t="n">
        <x:v>104</x:v>
      </x:c>
      <x:c r="H83" t="n">
        <x:v>155</x:v>
      </x:c>
      <x:c r="I83" t="n">
        <x:v>4</x:v>
      </x:c>
      <x:c r="J83" t="n">
        <x:v>8</x:v>
      </x:c>
      <x:c r="K83" t="str">
        <x:v>No</x:v>
      </x:c>
      <x:c r="L83" s="5" t="n">
        <x:v>0.7591240875912408</x:v>
      </x:c>
      <x:c r="M83" t="n">
        <x:v>51</x:v>
      </x:c>
      <x:c r="N83" s="6" t="n">
        <x:v>1943</x:v>
      </x:c>
    </x:row>
    <x:row r="84">
      <x:c r="A84" t="str">
        <x:v>SHP-5083</x:v>
      </x:c>
      <x:c r="B84" s="4" t="n">
        <x:v>45969</x:v>
      </x:c>
      <x:c r="C84" t="str">
        <x:v>Central</x:v>
      </x:c>
      <x:c r="D84" t="str">
        <x:v>Supplier C</x:v>
      </x:c>
      <x:c r="E84" t="str">
        <x:v>Network</x:v>
      </x:c>
      <x:c r="F84" t="n">
        <x:v>174</x:v>
      </x:c>
      <x:c r="G84" t="n">
        <x:v>172</x:v>
      </x:c>
      <x:c r="H84" t="n">
        <x:v>210</x:v>
      </x:c>
      <x:c r="I84" t="n">
        <x:v>5</x:v>
      </x:c>
      <x:c r="J84" t="n">
        <x:v>9</x:v>
      </x:c>
      <x:c r="K84" t="str">
        <x:v>No</x:v>
      </x:c>
      <x:c r="L84" s="5" t="n">
        <x:v>0.9885057471264368</x:v>
      </x:c>
      <x:c r="M84" t="n">
        <x:v>38</x:v>
      </x:c>
      <x:c r="N84" s="6" t="n">
        <x:v>2026</x:v>
      </x:c>
    </x:row>
    <x:row r="85">
      <x:c r="A85" t="str">
        <x:v>SHP-5084</x:v>
      </x:c>
      <x:c r="B85" s="4" t="n">
        <x:v>46006</x:v>
      </x:c>
      <x:c r="C85" t="str">
        <x:v>East</x:v>
      </x:c>
      <x:c r="D85" t="str">
        <x:v>Supplier H</x:v>
      </x:c>
      <x:c r="E85" t="str">
        <x:v>Industrial</x:v>
      </x:c>
      <x:c r="F85" t="n">
        <x:v>211</x:v>
      </x:c>
      <x:c r="G85" t="n">
        <x:v>192</x:v>
      </x:c>
      <x:c r="H85" t="n">
        <x:v>265</x:v>
      </x:c>
      <x:c r="I85" t="n">
        <x:v>6</x:v>
      </x:c>
      <x:c r="J85" t="n">
        <x:v>8</x:v>
      </x:c>
      <x:c r="K85" t="str">
        <x:v>No</x:v>
      </x:c>
      <x:c r="L85" s="5" t="n">
        <x:v>0.909952606635071</x:v>
      </x:c>
      <x:c r="M85" t="n">
        <x:v>73</x:v>
      </x:c>
      <x:c r="N85" s="6" t="n">
        <x:v>2109</x:v>
      </x:c>
    </x:row>
    <x:row r="86">
      <x:c r="A86" t="str">
        <x:v>SHP-5085</x:v>
      </x:c>
      <x:c r="B86" s="4" t="n">
        <x:v>45679</x:v>
      </x:c>
      <x:c r="C86" t="str">
        <x:v>West</x:v>
      </x:c>
      <x:c r="D86" t="str">
        <x:v>Supplier A</x:v>
      </x:c>
      <x:c r="E86" t="str">
        <x:v>Consumer</x:v>
      </x:c>
      <x:c r="F86" t="n">
        <x:v>248</x:v>
      </x:c>
      <x:c r="G86" t="n">
        <x:v>212</x:v>
      </x:c>
      <x:c r="H86" t="n">
        <x:v>194</x:v>
      </x:c>
      <x:c r="I86" t="n">
        <x:v>7</x:v>
      </x:c>
      <x:c r="J86" t="n">
        <x:v>5</x:v>
      </x:c>
      <x:c r="K86" t="str">
        <x:v>Yes</x:v>
      </x:c>
      <x:c r="L86" s="5" t="n">
        <x:v>0.8548387096774194</x:v>
      </x:c>
      <x:c r="M86" t="n">
        <x:v>18</x:v>
      </x:c>
      <x:c r="N86" s="6" t="n">
        <x:v>2192</x:v>
      </x:c>
    </x:row>
    <x:row r="87">
      <x:c r="A87" t="str">
        <x:v>SHP-5086</x:v>
      </x:c>
      <x:c r="B87" s="4" t="n">
        <x:v>45690</x:v>
      </x:c>
      <x:c r="C87" t="str">
        <x:v>South</x:v>
      </x:c>
      <x:c r="D87" t="str">
        <x:v>Supplier F</x:v>
      </x:c>
      <x:c r="E87" t="str">
        <x:v>Electronics</x:v>
      </x:c>
      <x:c r="F87" t="n">
        <x:v>285</x:v>
      </x:c>
      <x:c r="G87" t="n">
        <x:v>280</x:v>
      </x:c>
      <x:c r="H87" t="n">
        <x:v>249</x:v>
      </x:c>
      <x:c r="I87" t="n">
        <x:v>3</x:v>
      </x:c>
      <x:c r="J87" t="n">
        <x:v>6</x:v>
      </x:c>
      <x:c r="K87" t="str">
        <x:v>No</x:v>
      </x:c>
      <x:c r="L87" s="5" t="n">
        <x:v>0.9824561403508771</x:v>
      </x:c>
      <x:c r="M87" t="n">
        <x:v>31</x:v>
      </x:c>
      <x:c r="N87" s="6" t="n">
        <x:v>2275</x:v>
      </x:c>
    </x:row>
    <x:row r="88">
      <x:c r="A88" t="str">
        <x:v>SHP-5087</x:v>
      </x:c>
      <x:c r="B88" s="4" t="n">
        <x:v>45725</x:v>
      </x:c>
      <x:c r="C88" t="str">
        <x:v>Central</x:v>
      </x:c>
      <x:c r="D88" t="str">
        <x:v>Supplier K</x:v>
      </x:c>
      <x:c r="E88" t="str">
        <x:v>Medical</x:v>
      </x:c>
      <x:c r="F88" t="n">
        <x:v>322</x:v>
      </x:c>
      <x:c r="G88" t="n">
        <x:v>300</x:v>
      </x:c>
      <x:c r="H88" t="n">
        <x:v>304</x:v>
      </x:c>
      <x:c r="I88" t="n">
        <x:v>4</x:v>
      </x:c>
      <x:c r="J88" t="n">
        <x:v>5</x:v>
      </x:c>
      <x:c r="K88" t="str">
        <x:v>No</x:v>
      </x:c>
      <x:c r="L88" s="5" t="n">
        <x:v>0.9316770186335404</x:v>
      </x:c>
      <x:c r="M88" t="n">
        <x:v>4</x:v>
      </x:c>
      <x:c r="N88" s="6" t="n">
        <x:v>2358</x:v>
      </x:c>
    </x:row>
    <x:row r="89">
      <x:c r="A89" t="str">
        <x:v>SHP-5088</x:v>
      </x:c>
      <x:c r="B89" s="4" t="n">
        <x:v>45763</x:v>
      </x:c>
      <x:c r="C89" t="str">
        <x:v>East</x:v>
      </x:c>
      <x:c r="D89" t="str">
        <x:v>Supplier D</x:v>
      </x:c>
      <x:c r="E89" t="str">
        <x:v>Network</x:v>
      </x:c>
      <x:c r="F89" t="n">
        <x:v>359</x:v>
      </x:c>
      <x:c r="G89" t="n">
        <x:v>320</x:v>
      </x:c>
      <x:c r="H89" t="n">
        <x:v>359</x:v>
      </x:c>
      <x:c r="I89" t="n">
        <x:v>5</x:v>
      </x:c>
      <x:c r="J89" t="n">
        <x:v>6</x:v>
      </x:c>
      <x:c r="K89" t="str">
        <x:v>No</x:v>
      </x:c>
      <x:c r="L89" s="5" t="n">
        <x:v>0.8913649025069638</x:v>
      </x:c>
      <x:c r="M89" t="n">
        <x:v>39</x:v>
      </x:c>
      <x:c r="N89" s="6" t="n">
        <x:v>2441</x:v>
      </x:c>
    </x:row>
    <x:row r="90">
      <x:c r="A90" t="str">
        <x:v>SHP-5089</x:v>
      </x:c>
      <x:c r="B90" s="4" t="n">
        <x:v>45800</x:v>
      </x:c>
      <x:c r="C90" t="str">
        <x:v>West</x:v>
      </x:c>
      <x:c r="D90" t="str">
        <x:v>Supplier I</x:v>
      </x:c>
      <x:c r="E90" t="str">
        <x:v>Industrial</x:v>
      </x:c>
      <x:c r="F90" t="n">
        <x:v>396</x:v>
      </x:c>
      <x:c r="G90" t="n">
        <x:v>388</x:v>
      </x:c>
      <x:c r="H90" t="n">
        <x:v>414</x:v>
      </x:c>
      <x:c r="I90" t="n">
        <x:v>6</x:v>
      </x:c>
      <x:c r="J90" t="n">
        <x:v>5</x:v>
      </x:c>
      <x:c r="K90" t="str">
        <x:v>Yes</x:v>
      </x:c>
      <x:c r="L90" s="5" t="n">
        <x:v>0.9797979797979798</x:v>
      </x:c>
      <x:c r="M90" t="n">
        <x:v>26</x:v>
      </x:c>
      <x:c r="N90" s="6" t="n">
        <x:v>2524</x:v>
      </x:c>
    </x:row>
    <x:row r="91">
      <x:c r="A91" t="str">
        <x:v>SHP-5090</x:v>
      </x:c>
      <x:c r="B91" s="4" t="n">
        <x:v>45811</x:v>
      </x:c>
      <x:c r="C91" t="str">
        <x:v>South</x:v>
      </x:c>
      <x:c r="D91" t="str">
        <x:v>Supplier B</x:v>
      </x:c>
      <x:c r="E91" t="str">
        <x:v>Consumer</x:v>
      </x:c>
      <x:c r="F91" t="n">
        <x:v>433</x:v>
      </x:c>
      <x:c r="G91" t="n">
        <x:v>408</x:v>
      </x:c>
      <x:c r="H91" t="n">
        <x:v>469</x:v>
      </x:c>
      <x:c r="I91" t="n">
        <x:v>7</x:v>
      </x:c>
      <x:c r="J91" t="n">
        <x:v>6</x:v>
      </x:c>
      <x:c r="K91" t="str">
        <x:v>Yes</x:v>
      </x:c>
      <x:c r="L91" s="5" t="n">
        <x:v>0.9422632794457275</x:v>
      </x:c>
      <x:c r="M91" t="n">
        <x:v>61</x:v>
      </x:c>
      <x:c r="N91" s="6" t="n">
        <x:v>2607</x:v>
      </x:c>
    </x:row>
    <x:row r="92">
      <x:c r="A92" t="str">
        <x:v>SHP-5091</x:v>
      </x:c>
      <x:c r="B92" s="4" t="n">
        <x:v>45848</x:v>
      </x:c>
      <x:c r="C92" t="str">
        <x:v>Central</x:v>
      </x:c>
      <x:c r="D92" t="str">
        <x:v>Supplier G</x:v>
      </x:c>
      <x:c r="E92" t="str">
        <x:v>Electronics</x:v>
      </x:c>
      <x:c r="F92" t="n">
        <x:v>470</x:v>
      </x:c>
      <x:c r="G92" t="n">
        <x:v>428</x:v>
      </x:c>
      <x:c r="H92" t="n">
        <x:v>524</x:v>
      </x:c>
      <x:c r="I92" t="n">
        <x:v>3</x:v>
      </x:c>
      <x:c r="J92" t="n">
        <x:v>7</x:v>
      </x:c>
      <x:c r="K92" t="str">
        <x:v>No</x:v>
      </x:c>
      <x:c r="L92" s="5" t="n">
        <x:v>0.9106382978723404</x:v>
      </x:c>
      <x:c r="M92" t="n">
        <x:v>96</x:v>
      </x:c>
      <x:c r="N92" s="6" t="n">
        <x:v>2690</x:v>
      </x:c>
    </x:row>
    <x:row r="93">
      <x:c r="A93" t="str">
        <x:v>SHP-5092</x:v>
      </x:c>
      <x:c r="B93" s="4" t="n">
        <x:v>45886</x:v>
      </x:c>
      <x:c r="C93" t="str">
        <x:v>East</x:v>
      </x:c>
      <x:c r="D93" t="str">
        <x:v>Supplier L</x:v>
      </x:c>
      <x:c r="E93" t="str">
        <x:v>Medical</x:v>
      </x:c>
      <x:c r="F93" t="n">
        <x:v>87</x:v>
      </x:c>
      <x:c r="G93" t="n">
        <x:v>76</x:v>
      </x:c>
      <x:c r="H93" t="n">
        <x:v>33</x:v>
      </x:c>
      <x:c r="I93" t="n">
        <x:v>4</x:v>
      </x:c>
      <x:c r="J93" t="n">
        <x:v>6</x:v>
      </x:c>
      <x:c r="K93" t="str">
        <x:v>No</x:v>
      </x:c>
      <x:c r="L93" s="5" t="n">
        <x:v>0.8735632183908046</x:v>
      </x:c>
      <x:c r="M93" t="n">
        <x:v>43</x:v>
      </x:c>
      <x:c r="N93" s="6" t="n">
        <x:v>2773</x:v>
      </x:c>
    </x:row>
    <x:row r="94">
      <x:c r="A94" t="str">
        <x:v>SHP-5093</x:v>
      </x:c>
      <x:c r="B94" s="4" t="n">
        <x:v>45924</x:v>
      </x:c>
      <x:c r="C94" t="str">
        <x:v>West</x:v>
      </x:c>
      <x:c r="D94" t="str">
        <x:v>Supplier E</x:v>
      </x:c>
      <x:c r="E94" t="str">
        <x:v>Network</x:v>
      </x:c>
      <x:c r="F94" t="n">
        <x:v>124</x:v>
      </x:c>
      <x:c r="G94" t="n">
        <x:v>96</x:v>
      </x:c>
      <x:c r="H94" t="n">
        <x:v>88</x:v>
      </x:c>
      <x:c r="I94" t="n">
        <x:v>5</x:v>
      </x:c>
      <x:c r="J94" t="n">
        <x:v>7</x:v>
      </x:c>
      <x:c r="K94" t="str">
        <x:v>No</x:v>
      </x:c>
      <x:c r="L94" s="5" t="n">
        <x:v>0.7741935483870968</x:v>
      </x:c>
      <x:c r="M94" t="n">
        <x:v>8</x:v>
      </x:c>
      <x:c r="N94" s="6" t="n">
        <x:v>2856</x:v>
      </x:c>
    </x:row>
    <x:row r="95">
      <x:c r="A95" t="str">
        <x:v>SHP-5094</x:v>
      </x:c>
      <x:c r="B95" s="4" t="n">
        <x:v>45934</x:v>
      </x:c>
      <x:c r="C95" t="str">
        <x:v>South</x:v>
      </x:c>
      <x:c r="D95" t="str">
        <x:v>Supplier J</x:v>
      </x:c>
      <x:c r="E95" t="str">
        <x:v>Industrial</x:v>
      </x:c>
      <x:c r="F95" t="n">
        <x:v>161</x:v>
      </x:c>
      <x:c r="G95" t="n">
        <x:v>116</x:v>
      </x:c>
      <x:c r="H95" t="n">
        <x:v>143</x:v>
      </x:c>
      <x:c r="I95" t="n">
        <x:v>6</x:v>
      </x:c>
      <x:c r="J95" t="n">
        <x:v>6</x:v>
      </x:c>
      <x:c r="K95" t="str">
        <x:v>Yes</x:v>
      </x:c>
      <x:c r="L95" s="5" t="n">
        <x:v>0.7204968944099379</x:v>
      </x:c>
      <x:c r="M95" t="n">
        <x:v>27</x:v>
      </x:c>
      <x:c r="N95" s="6" t="n">
        <x:v>2939</x:v>
      </x:c>
    </x:row>
    <x:row r="96">
      <x:c r="A96" t="str">
        <x:v>SHP-5095</x:v>
      </x:c>
      <x:c r="B96" s="4" t="n">
        <x:v>45972</x:v>
      </x:c>
      <x:c r="C96" t="str">
        <x:v>Central</x:v>
      </x:c>
      <x:c r="D96" t="str">
        <x:v>Supplier C</x:v>
      </x:c>
      <x:c r="E96" t="str">
        <x:v>Consumer</x:v>
      </x:c>
      <x:c r="F96" t="n">
        <x:v>198</x:v>
      </x:c>
      <x:c r="G96" t="n">
        <x:v>184</x:v>
      </x:c>
      <x:c r="H96" t="n">
        <x:v>198</x:v>
      </x:c>
      <x:c r="I96" t="n">
        <x:v>7</x:v>
      </x:c>
      <x:c r="J96" t="n">
        <x:v>7</x:v>
      </x:c>
      <x:c r="K96" t="str">
        <x:v>Yes</x:v>
      </x:c>
      <x:c r="L96" s="5" t="n">
        <x:v>0.9292929292929293</x:v>
      </x:c>
      <x:c r="M96" t="n">
        <x:v>14</x:v>
      </x:c>
      <x:c r="N96" s="6" t="n">
        <x:v>422</x:v>
      </x:c>
    </x:row>
    <x:row r="97">
      <x:c r="A97" t="str">
        <x:v>SHP-5096</x:v>
      </x:c>
      <x:c r="B97" s="4" t="n">
        <x:v>46009</x:v>
      </x:c>
      <x:c r="C97" t="str">
        <x:v>East</x:v>
      </x:c>
      <x:c r="D97" t="str">
        <x:v>Supplier H</x:v>
      </x:c>
      <x:c r="E97" t="str">
        <x:v>Electronics</x:v>
      </x:c>
      <x:c r="F97" t="n">
        <x:v>235</x:v>
      </x:c>
      <x:c r="G97" t="n">
        <x:v>204</x:v>
      </x:c>
      <x:c r="H97" t="n">
        <x:v>253</x:v>
      </x:c>
      <x:c r="I97" t="n">
        <x:v>3</x:v>
      </x:c>
      <x:c r="J97" t="n">
        <x:v>1</x:v>
      </x:c>
      <x:c r="K97" t="str">
        <x:v>Yes</x:v>
      </x:c>
      <x:c r="L97" s="5" t="n">
        <x:v>0.8680851063829788</x:v>
      </x:c>
      <x:c r="M97" t="n">
        <x:v>49</x:v>
      </x:c>
      <x:c r="N97" s="6" t="n">
        <x:v>505</x:v>
      </x:c>
    </x:row>
    <x:row r="98">
      <x:c r="A98" t="str">
        <x:v>SHP-5097</x:v>
      </x:c>
      <x:c r="B98" s="4" t="n">
        <x:v>45682</x:v>
      </x:c>
      <x:c r="C98" t="str">
        <x:v>West</x:v>
      </x:c>
      <x:c r="D98" t="str">
        <x:v>Supplier A</x:v>
      </x:c>
      <x:c r="E98" t="str">
        <x:v>Medical</x:v>
      </x:c>
      <x:c r="F98" t="n">
        <x:v>272</x:v>
      </x:c>
      <x:c r="G98" t="n">
        <x:v>272</x:v>
      </x:c>
      <x:c r="H98" t="n">
        <x:v>308</x:v>
      </x:c>
      <x:c r="I98" t="n">
        <x:v>4</x:v>
      </x:c>
      <x:c r="J98" t="n">
        <x:v>5</x:v>
      </x:c>
      <x:c r="K98" t="str">
        <x:v>No</x:v>
      </x:c>
      <x:c r="L98" s="5" t="n">
        <x:v>1</x:v>
      </x:c>
      <x:c r="M98" t="n">
        <x:v>36</x:v>
      </x:c>
      <x:c r="N98" s="6" t="n">
        <x:v>588</x:v>
      </x:c>
    </x:row>
    <x:row r="99">
      <x:c r="A99" t="str">
        <x:v>SHP-5098</x:v>
      </x:c>
      <x:c r="B99" s="4" t="n">
        <x:v>45693</x:v>
      </x:c>
      <x:c r="C99" t="str">
        <x:v>South</x:v>
      </x:c>
      <x:c r="D99" t="str">
        <x:v>Supplier F</x:v>
      </x:c>
      <x:c r="E99" t="str">
        <x:v>Network</x:v>
      </x:c>
      <x:c r="F99" t="n">
        <x:v>309</x:v>
      </x:c>
      <x:c r="G99" t="n">
        <x:v>292</x:v>
      </x:c>
      <x:c r="H99" t="n">
        <x:v>363</x:v>
      </x:c>
      <x:c r="I99" t="n">
        <x:v>5</x:v>
      </x:c>
      <x:c r="J99" t="n">
        <x:v>4</x:v>
      </x:c>
      <x:c r="K99" t="str">
        <x:v>Yes</x:v>
      </x:c>
      <x:c r="L99" s="5" t="n">
        <x:v>0.9449838187702265</x:v>
      </x:c>
      <x:c r="M99" t="n">
        <x:v>71</x:v>
      </x:c>
      <x:c r="N99" s="6" t="n">
        <x:v>671</x:v>
      </x:c>
    </x:row>
    <x:row r="100">
      <x:c r="A100" t="str">
        <x:v>SHP-5099</x:v>
      </x:c>
      <x:c r="B100" s="4" t="n">
        <x:v>45728</x:v>
      </x:c>
      <x:c r="C100" t="str">
        <x:v>Central</x:v>
      </x:c>
      <x:c r="D100" t="str">
        <x:v>Supplier K</x:v>
      </x:c>
      <x:c r="E100" t="str">
        <x:v>Industrial</x:v>
      </x:c>
      <x:c r="F100" t="n">
        <x:v>346</x:v>
      </x:c>
      <x:c r="G100" t="n">
        <x:v>312</x:v>
      </x:c>
      <x:c r="H100" t="n">
        <x:v>292</x:v>
      </x:c>
      <x:c r="I100" t="n">
        <x:v>6</x:v>
      </x:c>
      <x:c r="J100" t="n">
        <x:v>10</x:v>
      </x:c>
      <x:c r="K100" t="str">
        <x:v>No</x:v>
      </x:c>
      <x:c r="L100" s="5" t="n">
        <x:v>0.9017341040462428</x:v>
      </x:c>
      <x:c r="M100" t="n">
        <x:v>20</x:v>
      </x:c>
      <x:c r="N100" s="6" t="n">
        <x:v>754</x:v>
      </x:c>
    </x:row>
    <x:row r="101">
      <x:c r="A101" t="str">
        <x:v>SHP-5100</x:v>
      </x:c>
      <x:c r="B101" s="4" t="n">
        <x:v>45766</x:v>
      </x:c>
      <x:c r="C101" t="str">
        <x:v>East</x:v>
      </x:c>
      <x:c r="D101" t="str">
        <x:v>Supplier D</x:v>
      </x:c>
      <x:c r="E101" t="str">
        <x:v>Consumer</x:v>
      </x:c>
      <x:c r="F101" t="n">
        <x:v>383</x:v>
      </x:c>
      <x:c r="G101" t="n">
        <x:v>380</x:v>
      </x:c>
      <x:c r="H101" t="n">
        <x:v>347</x:v>
      </x:c>
      <x:c r="I101" t="n">
        <x:v>7</x:v>
      </x:c>
      <x:c r="J101" t="n">
        <x:v>11</x:v>
      </x:c>
      <x:c r="K101" t="str">
        <x:v>No</x:v>
      </x:c>
      <x:c r="L101" s="5" t="n">
        <x:v>0.9921671018276762</x:v>
      </x:c>
      <x:c r="M101" t="n">
        <x:v>33</x:v>
      </x:c>
      <x:c r="N101" s="6" t="n">
        <x:v>837</x:v>
      </x:c>
    </x:row>
    <x:row r="102">
      <x:c r="A102" t="str">
        <x:v>SHP-5101</x:v>
      </x:c>
      <x:c r="B102" s="4" t="n">
        <x:v>45803</x:v>
      </x:c>
      <x:c r="C102" t="str">
        <x:v>West</x:v>
      </x:c>
      <x:c r="D102" t="str">
        <x:v>Supplier I</x:v>
      </x:c>
      <x:c r="E102" t="str">
        <x:v>Electronics</x:v>
      </x:c>
      <x:c r="F102" t="n">
        <x:v>420</x:v>
      </x:c>
      <x:c r="G102" t="n">
        <x:v>400</x:v>
      </x:c>
      <x:c r="H102" t="n">
        <x:v>402</x:v>
      </x:c>
      <x:c r="I102" t="n">
        <x:v>3</x:v>
      </x:c>
      <x:c r="J102" t="n">
        <x:v>5</x:v>
      </x:c>
      <x:c r="K102" t="str">
        <x:v>No</x:v>
      </x:c>
      <x:c r="L102" s="5" t="n">
        <x:v>0.9523809523809523</x:v>
      </x:c>
      <x:c r="M102" t="n">
        <x:v>2</x:v>
      </x:c>
      <x:c r="N102" s="6" t="n">
        <x:v>920</x:v>
      </x:c>
    </x:row>
    <x:row r="103">
      <x:c r="A103" t="str">
        <x:v>SHP-5102</x:v>
      </x:c>
      <x:c r="B103" s="4" t="n">
        <x:v>45814</x:v>
      </x:c>
      <x:c r="C103" t="str">
        <x:v>South</x:v>
      </x:c>
      <x:c r="D103" t="str">
        <x:v>Supplier B</x:v>
      </x:c>
      <x:c r="E103" t="str">
        <x:v>Medical</x:v>
      </x:c>
      <x:c r="F103" t="n">
        <x:v>457</x:v>
      </x:c>
      <x:c r="G103" t="n">
        <x:v>420</x:v>
      </x:c>
      <x:c r="H103" t="n">
        <x:v>457</x:v>
      </x:c>
      <x:c r="I103" t="n">
        <x:v>4</x:v>
      </x:c>
      <x:c r="J103" t="n">
        <x:v>6</x:v>
      </x:c>
      <x:c r="K103" t="str">
        <x:v>No</x:v>
      </x:c>
      <x:c r="L103" s="5" t="n">
        <x:v>0.9190371991247265</x:v>
      </x:c>
      <x:c r="M103" t="n">
        <x:v>37</x:v>
      </x:c>
      <x:c r="N103" s="6" t="n">
        <x:v>1003</x:v>
      </x:c>
    </x:row>
    <x:row r="104">
      <x:c r="A104" t="str">
        <x:v>SHP-5103</x:v>
      </x:c>
      <x:c r="B104" s="4" t="n">
        <x:v>45851</x:v>
      </x:c>
      <x:c r="C104" t="str">
        <x:v>Central</x:v>
      </x:c>
      <x:c r="D104" t="str">
        <x:v>Supplier G</x:v>
      </x:c>
      <x:c r="E104" t="str">
        <x:v>Network</x:v>
      </x:c>
      <x:c r="F104" t="n">
        <x:v>494</x:v>
      </x:c>
      <x:c r="G104" t="n">
        <x:v>488</x:v>
      </x:c>
      <x:c r="H104" t="n">
        <x:v>512</x:v>
      </x:c>
      <x:c r="I104" t="n">
        <x:v>5</x:v>
      </x:c>
      <x:c r="J104" t="n">
        <x:v>5</x:v>
      </x:c>
      <x:c r="K104" t="str">
        <x:v>Yes</x:v>
      </x:c>
      <x:c r="L104" s="5" t="n">
        <x:v>0.9878542510121457</x:v>
      </x:c>
      <x:c r="M104" t="n">
        <x:v>24</x:v>
      </x:c>
      <x:c r="N104" s="6" t="n">
        <x:v>1086</x:v>
      </x:c>
    </x:row>
    <x:row r="105">
      <x:c r="A105" t="str">
        <x:v>SHP-5104</x:v>
      </x:c>
      <x:c r="B105" s="4" t="n">
        <x:v>45889</x:v>
      </x:c>
      <x:c r="C105" t="str">
        <x:v>East</x:v>
      </x:c>
      <x:c r="D105" t="str">
        <x:v>Supplier L</x:v>
      </x:c>
      <x:c r="E105" t="str">
        <x:v>Industrial</x:v>
      </x:c>
      <x:c r="F105" t="n">
        <x:v>111</x:v>
      </x:c>
      <x:c r="G105" t="n">
        <x:v>88</x:v>
      </x:c>
      <x:c r="H105" t="n">
        <x:v>147</x:v>
      </x:c>
      <x:c r="I105" t="n">
        <x:v>6</x:v>
      </x:c>
      <x:c r="J105" t="n">
        <x:v>4</x:v>
      </x:c>
      <x:c r="K105" t="str">
        <x:v>Yes</x:v>
      </x:c>
      <x:c r="L105" s="5" t="n">
        <x:v>0.7927927927927928</x:v>
      </x:c>
      <x:c r="M105" t="n">
        <x:v>59</x:v>
      </x:c>
      <x:c r="N105" s="6" t="n">
        <x:v>1169</x:v>
      </x:c>
    </x:row>
    <x:row r="106">
      <x:c r="A106" t="str">
        <x:v>SHP-5105</x:v>
      </x:c>
      <x:c r="B106" s="4" t="n">
        <x:v>45927</x:v>
      </x:c>
      <x:c r="C106" t="str">
        <x:v>West</x:v>
      </x:c>
      <x:c r="D106" t="str">
        <x:v>Supplier E</x:v>
      </x:c>
      <x:c r="E106" t="str">
        <x:v>Consumer</x:v>
      </x:c>
      <x:c r="F106" t="n">
        <x:v>148</x:v>
      </x:c>
      <x:c r="G106" t="n">
        <x:v>108</x:v>
      </x:c>
      <x:c r="H106" t="n">
        <x:v>202</x:v>
      </x:c>
      <x:c r="I106" t="n">
        <x:v>7</x:v>
      </x:c>
      <x:c r="J106" t="n">
        <x:v>5</x:v>
      </x:c>
      <x:c r="K106" t="str">
        <x:v>Yes</x:v>
      </x:c>
      <x:c r="L106" s="5" t="n">
        <x:v>0.7297297297297297</x:v>
      </x:c>
      <x:c r="M106" t="n">
        <x:v>94</x:v>
      </x:c>
      <x:c r="N106" s="6" t="n">
        <x:v>1252</x:v>
      </x:c>
    </x:row>
    <x:row r="107">
      <x:c r="A107" t="str">
        <x:v>SHP-5106</x:v>
      </x:c>
      <x:c r="B107" s="4" t="n">
        <x:v>45937</x:v>
      </x:c>
      <x:c r="C107" t="str">
        <x:v>South</x:v>
      </x:c>
      <x:c r="D107" t="str">
        <x:v>Supplier J</x:v>
      </x:c>
      <x:c r="E107" t="str">
        <x:v>Electronics</x:v>
      </x:c>
      <x:c r="F107" t="n">
        <x:v>185</x:v>
      </x:c>
      <x:c r="G107" t="n">
        <x:v>176</x:v>
      </x:c>
      <x:c r="H107" t="n">
        <x:v>131</x:v>
      </x:c>
      <x:c r="I107" t="n">
        <x:v>3</x:v>
      </x:c>
      <x:c r="J107" t="n">
        <x:v>6</x:v>
      </x:c>
      <x:c r="K107" t="str">
        <x:v>No</x:v>
      </x:c>
      <x:c r="L107" s="5" t="n">
        <x:v>0.9513513513513514</x:v>
      </x:c>
      <x:c r="M107" t="n">
        <x:v>45</x:v>
      </x:c>
      <x:c r="N107" s="6" t="n">
        <x:v>1335</x:v>
      </x:c>
    </x:row>
    <x:row r="108">
      <x:c r="A108" t="str">
        <x:v>SHP-5107</x:v>
      </x:c>
      <x:c r="B108" s="4" t="n">
        <x:v>45975</x:v>
      </x:c>
      <x:c r="C108" t="str">
        <x:v>Central</x:v>
      </x:c>
      <x:c r="D108" t="str">
        <x:v>Supplier C</x:v>
      </x:c>
      <x:c r="E108" t="str">
        <x:v>Medical</x:v>
      </x:c>
      <x:c r="F108" t="n">
        <x:v>222</x:v>
      </x:c>
      <x:c r="G108" t="n">
        <x:v>196</x:v>
      </x:c>
      <x:c r="H108" t="n">
        <x:v>186</x:v>
      </x:c>
      <x:c r="I108" t="n">
        <x:v>4</x:v>
      </x:c>
      <x:c r="J108" t="n">
        <x:v>7</x:v>
      </x:c>
      <x:c r="K108" t="str">
        <x:v>No</x:v>
      </x:c>
      <x:c r="L108" s="5" t="n">
        <x:v>0.8828828828828829</x:v>
      </x:c>
      <x:c r="M108" t="n">
        <x:v>10</x:v>
      </x:c>
      <x:c r="N108" s="6" t="n">
        <x:v>1418</x:v>
      </x:c>
    </x:row>
    <x:row r="109">
      <x:c r="A109" t="str">
        <x:v>SHP-5108</x:v>
      </x:c>
      <x:c r="B109" s="4" t="n">
        <x:v>46012</x:v>
      </x:c>
      <x:c r="C109" t="str">
        <x:v>East</x:v>
      </x:c>
      <x:c r="D109" t="str">
        <x:v>Supplier H</x:v>
      </x:c>
      <x:c r="E109" t="str">
        <x:v>Network</x:v>
      </x:c>
      <x:c r="F109" t="n">
        <x:v>259</x:v>
      </x:c>
      <x:c r="G109" t="n">
        <x:v>216</x:v>
      </x:c>
      <x:c r="H109" t="n">
        <x:v>241</x:v>
      </x:c>
      <x:c r="I109" t="n">
        <x:v>5</x:v>
      </x:c>
      <x:c r="J109" t="n">
        <x:v>6</x:v>
      </x:c>
      <x:c r="K109" t="str">
        <x:v>No</x:v>
      </x:c>
      <x:c r="L109" s="5" t="n">
        <x:v>0.833976833976834</x:v>
      </x:c>
      <x:c r="M109" t="n">
        <x:v>25</x:v>
      </x:c>
      <x:c r="N109" s="6" t="n">
        <x:v>1501</x:v>
      </x:c>
    </x:row>
    <x:row r="110">
      <x:c r="A110" t="str">
        <x:v>SHP-5109</x:v>
      </x:c>
      <x:c r="B110" s="4" t="n">
        <x:v>45658</x:v>
      </x:c>
      <x:c r="C110" t="str">
        <x:v>West</x:v>
      </x:c>
      <x:c r="D110" t="str">
        <x:v>Supplier A</x:v>
      </x:c>
      <x:c r="E110" t="str">
        <x:v>Industrial</x:v>
      </x:c>
      <x:c r="F110" t="n">
        <x:v>296</x:v>
      </x:c>
      <x:c r="G110" t="n">
        <x:v>284</x:v>
      </x:c>
      <x:c r="H110" t="n">
        <x:v>296</x:v>
      </x:c>
      <x:c r="I110" t="n">
        <x:v>6</x:v>
      </x:c>
      <x:c r="J110" t="n">
        <x:v>10</x:v>
      </x:c>
      <x:c r="K110" t="str">
        <x:v>No</x:v>
      </x:c>
      <x:c r="L110" s="5" t="n">
        <x:v>0.9594594594594594</x:v>
      </x:c>
      <x:c r="M110" t="n">
        <x:v>12</x:v>
      </x:c>
      <x:c r="N110" s="6" t="n">
        <x:v>1584</x:v>
      </x:c>
    </x:row>
    <x:row r="111">
      <x:c r="A111" t="str">
        <x:v>SHP-5110</x:v>
      </x:c>
      <x:c r="B111" s="4" t="n">
        <x:v>45696</x:v>
      </x:c>
      <x:c r="C111" t="str">
        <x:v>South</x:v>
      </x:c>
      <x:c r="D111" t="str">
        <x:v>Supplier F</x:v>
      </x:c>
      <x:c r="E111" t="str">
        <x:v>Consumer</x:v>
      </x:c>
      <x:c r="F111" t="n">
        <x:v>333</x:v>
      </x:c>
      <x:c r="G111" t="n">
        <x:v>304</x:v>
      </x:c>
      <x:c r="H111" t="n">
        <x:v>351</x:v>
      </x:c>
      <x:c r="I111" t="n">
        <x:v>7</x:v>
      </x:c>
      <x:c r="J111" t="n">
        <x:v>9</x:v>
      </x:c>
      <x:c r="K111" t="str">
        <x:v>No</x:v>
      </x:c>
      <x:c r="L111" s="5" t="n">
        <x:v>0.9129129129129129</x:v>
      </x:c>
      <x:c r="M111" t="n">
        <x:v>47</x:v>
      </x:c>
      <x:c r="N111" s="6" t="n">
        <x:v>1667</x:v>
      </x:c>
    </x:row>
    <x:row r="112">
      <x:c r="A112" t="str">
        <x:v>SHP-5111</x:v>
      </x:c>
      <x:c r="B112" s="4" t="n">
        <x:v>45731</x:v>
      </x:c>
      <x:c r="C112" t="str">
        <x:v>Central</x:v>
      </x:c>
      <x:c r="D112" t="str">
        <x:v>Supplier K</x:v>
      </x:c>
      <x:c r="E112" t="str">
        <x:v>Electronics</x:v>
      </x:c>
      <x:c r="F112" t="n">
        <x:v>370</x:v>
      </x:c>
      <x:c r="G112" t="n">
        <x:v>324</x:v>
      </x:c>
      <x:c r="H112" t="n">
        <x:v>406</x:v>
      </x:c>
      <x:c r="I112" t="n">
        <x:v>3</x:v>
      </x:c>
      <x:c r="J112" t="n">
        <x:v>3</x:v>
      </x:c>
      <x:c r="K112" t="str">
        <x:v>Yes</x:v>
      </x:c>
      <x:c r="L112" s="5" t="n">
        <x:v>0.8756756756756757</x:v>
      </x:c>
      <x:c r="M112" t="n">
        <x:v>82</x:v>
      </x:c>
      <x:c r="N112" s="6" t="n">
        <x:v>1750</x:v>
      </x:c>
    </x:row>
    <x:row r="113">
      <x:c r="A113" t="str">
        <x:v>SHP-5112</x:v>
      </x:c>
      <x:c r="B113" s="4" t="n">
        <x:v>45769</x:v>
      </x:c>
      <x:c r="C113" t="str">
        <x:v>East</x:v>
      </x:c>
      <x:c r="D113" t="str">
        <x:v>Supplier D</x:v>
      </x:c>
      <x:c r="E113" t="str">
        <x:v>Medical</x:v>
      </x:c>
      <x:c r="F113" t="n">
        <x:v>407</x:v>
      </x:c>
      <x:c r="G113" t="n">
        <x:v>392</x:v>
      </x:c>
      <x:c r="H113" t="n">
        <x:v>461</x:v>
      </x:c>
      <x:c r="I113" t="n">
        <x:v>4</x:v>
      </x:c>
      <x:c r="J113" t="n">
        <x:v>4</x:v>
      </x:c>
      <x:c r="K113" t="str">
        <x:v>Yes</x:v>
      </x:c>
      <x:c r="L113" s="5" t="n">
        <x:v>0.9631449631449631</x:v>
      </x:c>
      <x:c r="M113" t="n">
        <x:v>69</x:v>
      </x:c>
      <x:c r="N113" s="6" t="n">
        <x:v>1833</x:v>
      </x:c>
    </x:row>
    <x:row r="114">
      <x:c r="A114" t="str">
        <x:v>SHP-5113</x:v>
      </x:c>
      <x:c r="B114" s="4" t="n">
        <x:v>45779</x:v>
      </x:c>
      <x:c r="C114" t="str">
        <x:v>West</x:v>
      </x:c>
      <x:c r="D114" t="str">
        <x:v>Supplier I</x:v>
      </x:c>
      <x:c r="E114" t="str">
        <x:v>Network</x:v>
      </x:c>
      <x:c r="F114" t="n">
        <x:v>444</x:v>
      </x:c>
      <x:c r="G114" t="n">
        <x:v>412</x:v>
      </x:c>
      <x:c r="H114" t="n">
        <x:v>390</x:v>
      </x:c>
      <x:c r="I114" t="n">
        <x:v>5</x:v>
      </x:c>
      <x:c r="J114" t="n">
        <x:v>3</x:v>
      </x:c>
      <x:c r="K114" t="str">
        <x:v>Yes</x:v>
      </x:c>
      <x:c r="L114" s="5" t="n">
        <x:v>0.9279279279279279</x:v>
      </x:c>
      <x:c r="M114" t="n">
        <x:v>22</x:v>
      </x:c>
      <x:c r="N114" s="6" t="n">
        <x:v>1916</x:v>
      </x:c>
    </x:row>
    <x:row r="115">
      <x:c r="A115" t="str">
        <x:v>SHP-5114</x:v>
      </x:c>
      <x:c r="B115" s="4" t="n">
        <x:v>45817</x:v>
      </x:c>
      <x:c r="C115" t="str">
        <x:v>South</x:v>
      </x:c>
      <x:c r="D115" t="str">
        <x:v>Supplier B</x:v>
      </x:c>
      <x:c r="E115" t="str">
        <x:v>Industrial</x:v>
      </x:c>
      <x:c r="F115" t="n">
        <x:v>481</x:v>
      </x:c>
      <x:c r="G115" t="n">
        <x:v>480</x:v>
      </x:c>
      <x:c r="H115" t="n">
        <x:v>445</x:v>
      </x:c>
      <x:c r="I115" t="n">
        <x:v>6</x:v>
      </x:c>
      <x:c r="J115" t="n">
        <x:v>4</x:v>
      </x:c>
      <x:c r="K115" t="str">
        <x:v>Yes</x:v>
      </x:c>
      <x:c r="L115" s="5" t="n">
        <x:v>0.997920997920998</x:v>
      </x:c>
      <x:c r="M115" t="n">
        <x:v>35</x:v>
      </x:c>
      <x:c r="N115" s="6" t="n">
        <x:v>1999</x:v>
      </x:c>
    </x:row>
    <x:row r="116">
      <x:c r="A116" t="str">
        <x:v>SHP-5115</x:v>
      </x:c>
      <x:c r="B116" s="4" t="n">
        <x:v>45854</x:v>
      </x:c>
      <x:c r="C116" t="str">
        <x:v>Central</x:v>
      </x:c>
      <x:c r="D116" t="str">
        <x:v>Supplier G</x:v>
      </x:c>
      <x:c r="E116" t="str">
        <x:v>Consumer</x:v>
      </x:c>
      <x:c r="F116" t="n">
        <x:v>98</x:v>
      </x:c>
      <x:c r="G116" t="n">
        <x:v>80</x:v>
      </x:c>
      <x:c r="H116" t="n">
        <x:v>80</x:v>
      </x:c>
      <x:c r="I116" t="n">
        <x:v>7</x:v>
      </x:c>
      <x:c r="J116" t="n">
        <x:v>10</x:v>
      </x:c>
      <x:c r="K116" t="str">
        <x:v>No</x:v>
      </x:c>
      <x:c r="L116" s="5" t="n">
        <x:v>0.8163265306122449</x:v>
      </x:c>
      <x:c r="M116" t="n">
        <x:v>0</x:v>
      </x:c>
      <x:c r="N116" s="6" t="n">
        <x:v>2082</x:v>
      </x:c>
    </x:row>
    <x:row r="117">
      <x:c r="A117" t="str">
        <x:v>SHP-5116</x:v>
      </x:c>
      <x:c r="B117" s="4" t="n">
        <x:v>45892</x:v>
      </x:c>
      <x:c r="C117" t="str">
        <x:v>East</x:v>
      </x:c>
      <x:c r="D117" t="str">
        <x:v>Supplier L</x:v>
      </x:c>
      <x:c r="E117" t="str">
        <x:v>Electronics</x:v>
      </x:c>
      <x:c r="F117" t="n">
        <x:v>135</x:v>
      </x:c>
      <x:c r="G117" t="n">
        <x:v>100</x:v>
      </x:c>
      <x:c r="H117" t="n">
        <x:v>135</x:v>
      </x:c>
      <x:c r="I117" t="n">
        <x:v>3</x:v>
      </x:c>
      <x:c r="J117" t="n">
        <x:v>4</x:v>
      </x:c>
      <x:c r="K117" t="str">
        <x:v>No</x:v>
      </x:c>
      <x:c r="L117" s="5" t="n">
        <x:v>0.7407407407407407</x:v>
      </x:c>
      <x:c r="M117" t="n">
        <x:v>35</x:v>
      </x:c>
      <x:c r="N117" s="6" t="n">
        <x:v>2165</x:v>
      </x:c>
    </x:row>
    <x:row r="118">
      <x:c r="A118" t="str">
        <x:v>SHP-5117</x:v>
      </x:c>
      <x:c r="B118" s="4" t="n">
        <x:v>45903</x:v>
      </x:c>
      <x:c r="C118" t="str">
        <x:v>West</x:v>
      </x:c>
      <x:c r="D118" t="str">
        <x:v>Supplier E</x:v>
      </x:c>
      <x:c r="E118" t="str">
        <x:v>Medical</x:v>
      </x:c>
      <x:c r="F118" t="n">
        <x:v>172</x:v>
      </x:c>
      <x:c r="G118" t="n">
        <x:v>168</x:v>
      </x:c>
      <x:c r="H118" t="n">
        <x:v>190</x:v>
      </x:c>
      <x:c r="I118" t="n">
        <x:v>4</x:v>
      </x:c>
      <x:c r="J118" t="n">
        <x:v>5</x:v>
      </x:c>
      <x:c r="K118" t="str">
        <x:v>No</x:v>
      </x:c>
      <x:c r="L118" s="5" t="n">
        <x:v>0.9767441860465116</x:v>
      </x:c>
      <x:c r="M118" t="n">
        <x:v>22</x:v>
      </x:c>
      <x:c r="N118" s="6" t="n">
        <x:v>2248</x:v>
      </x:c>
    </x:row>
    <x:row r="119">
      <x:c r="A119" t="str">
        <x:v>SHP-5118</x:v>
      </x:c>
      <x:c r="B119" s="4" t="n">
        <x:v>45940</x:v>
      </x:c>
      <x:c r="C119" t="str">
        <x:v>South</x:v>
      </x:c>
      <x:c r="D119" t="str">
        <x:v>Supplier J</x:v>
      </x:c>
      <x:c r="E119" t="str">
        <x:v>Network</x:v>
      </x:c>
      <x:c r="F119" t="n">
        <x:v>209</x:v>
      </x:c>
      <x:c r="G119" t="n">
        <x:v>188</x:v>
      </x:c>
      <x:c r="H119" t="n">
        <x:v>245</x:v>
      </x:c>
      <x:c r="I119" t="n">
        <x:v>5</x:v>
      </x:c>
      <x:c r="J119" t="n">
        <x:v>4</x:v>
      </x:c>
      <x:c r="K119" t="str">
        <x:v>Yes</x:v>
      </x:c>
      <x:c r="L119" s="5" t="n">
        <x:v>0.8995215311004785</x:v>
      </x:c>
      <x:c r="M119" t="n">
        <x:v>57</x:v>
      </x:c>
      <x:c r="N119" s="6" t="n">
        <x:v>2331</x:v>
      </x:c>
    </x:row>
    <x:row r="120">
      <x:c r="A120" t="str">
        <x:v>SHP-5119</x:v>
      </x:c>
      <x:c r="B120" s="4" t="n">
        <x:v>45978</x:v>
      </x:c>
      <x:c r="C120" t="str">
        <x:v>Central</x:v>
      </x:c>
      <x:c r="D120" t="str">
        <x:v>Supplier C</x:v>
      </x:c>
      <x:c r="E120" t="str">
        <x:v>Industrial</x:v>
      </x:c>
      <x:c r="F120" t="n">
        <x:v>246</x:v>
      </x:c>
      <x:c r="G120" t="n">
        <x:v>208</x:v>
      </x:c>
      <x:c r="H120" t="n">
        <x:v>300</x:v>
      </x:c>
      <x:c r="I120" t="n">
        <x:v>6</x:v>
      </x:c>
      <x:c r="J120" t="n">
        <x:v>5</x:v>
      </x:c>
      <x:c r="K120" t="str">
        <x:v>Yes</x:v>
      </x:c>
      <x:c r="L120" s="5" t="n">
        <x:v>0.8455284552845529</x:v>
      </x:c>
      <x:c r="M120" t="n">
        <x:v>92</x:v>
      </x:c>
      <x:c r="N120" s="6" t="n">
        <x:v>2414</x:v>
      </x:c>
    </x:row>
    <x:row r="121">
      <x:c r="A121" t="str">
        <x:v>SHP-5120</x:v>
      </x:c>
      <x:c r="B121" s="4" t="n">
        <x:v>46015</x:v>
      </x:c>
      <x:c r="C121" t="str">
        <x:v>East</x:v>
      </x:c>
      <x:c r="D121" t="str">
        <x:v>Supplier H</x:v>
      </x:c>
      <x:c r="E121" t="str">
        <x:v>Consumer</x:v>
      </x:c>
      <x:c r="F121" t="n">
        <x:v>283</x:v>
      </x:c>
      <x:c r="G121" t="n">
        <x:v>276</x:v>
      </x:c>
      <x:c r="H121" t="n">
        <x:v>229</x:v>
      </x:c>
      <x:c r="I121" t="n">
        <x:v>7</x:v>
      </x:c>
      <x:c r="J121" t="n">
        <x:v>11</x:v>
      </x:c>
      <x:c r="K121" t="str">
        <x:v>No</x:v>
      </x:c>
      <x:c r="L121" s="5" t="n">
        <x:v>0.9752650176678446</x:v>
      </x:c>
      <x:c r="M121" t="n">
        <x:v>47</x:v>
      </x:c>
      <x:c r="N121" s="6" t="n">
        <x:v>2497</x:v>
      </x:c>
    </x:row>
    <x:row r="122">
      <x:c r="A122" t="str">
        <x:v>SHP-5121</x:v>
      </x:c>
      <x:c r="B122" s="4" t="n">
        <x:v>45661</x:v>
      </x:c>
      <x:c r="C122" t="str">
        <x:v>West</x:v>
      </x:c>
      <x:c r="D122" t="str">
        <x:v>Supplier A</x:v>
      </x:c>
      <x:c r="E122" t="str">
        <x:v>Electronics</x:v>
      </x:c>
      <x:c r="F122" t="n">
        <x:v>320</x:v>
      </x:c>
      <x:c r="G122" t="n">
        <x:v>296</x:v>
      </x:c>
      <x:c r="H122" t="n">
        <x:v>284</x:v>
      </x:c>
      <x:c r="I122" t="n">
        <x:v>3</x:v>
      </x:c>
      <x:c r="J122" t="n">
        <x:v>3</x:v>
      </x:c>
      <x:c r="K122" t="str">
        <x:v>Yes</x:v>
      </x:c>
      <x:c r="L122" s="5" t="n">
        <x:v>0.925</x:v>
      </x:c>
      <x:c r="M122" t="n">
        <x:v>12</x:v>
      </x:c>
      <x:c r="N122" s="6" t="n">
        <x:v>2580</x:v>
      </x:c>
    </x:row>
    <x:row r="123">
      <x:c r="A123" t="str">
        <x:v>SHP-5122</x:v>
      </x:c>
      <x:c r="B123" s="4" t="n">
        <x:v>45699</x:v>
      </x:c>
      <x:c r="C123" t="str">
        <x:v>South</x:v>
      </x:c>
      <x:c r="D123" t="str">
        <x:v>Supplier F</x:v>
      </x:c>
      <x:c r="E123" t="str">
        <x:v>Medical</x:v>
      </x:c>
      <x:c r="F123" t="n">
        <x:v>357</x:v>
      </x:c>
      <x:c r="G123" t="n">
        <x:v>316</x:v>
      </x:c>
      <x:c r="H123" t="n">
        <x:v>339</x:v>
      </x:c>
      <x:c r="I123" t="n">
        <x:v>4</x:v>
      </x:c>
      <x:c r="J123" t="n">
        <x:v>2</x:v>
      </x:c>
      <x:c r="K123" t="str">
        <x:v>Yes</x:v>
      </x:c>
      <x:c r="L123" s="5" t="n">
        <x:v>0.8851540616246498</x:v>
      </x:c>
      <x:c r="M123" t="n">
        <x:v>23</x:v>
      </x:c>
      <x:c r="N123" s="6" t="n">
        <x:v>2663</x:v>
      </x:c>
    </x:row>
    <x:row r="124">
      <x:c r="A124" t="str">
        <x:v>SHP-5123</x:v>
      </x:c>
      <x:c r="B124" s="4" t="n">
        <x:v>45734</x:v>
      </x:c>
      <x:c r="C124" t="str">
        <x:v>Central</x:v>
      </x:c>
      <x:c r="D124" t="str">
        <x:v>Supplier K</x:v>
      </x:c>
      <x:c r="E124" t="str">
        <x:v>Network</x:v>
      </x:c>
      <x:c r="F124" t="n">
        <x:v>394</x:v>
      </x:c>
      <x:c r="G124" t="n">
        <x:v>384</x:v>
      </x:c>
      <x:c r="H124" t="n">
        <x:v>394</x:v>
      </x:c>
      <x:c r="I124" t="n">
        <x:v>5</x:v>
      </x:c>
      <x:c r="J124" t="n">
        <x:v>8</x:v>
      </x:c>
      <x:c r="K124" t="str">
        <x:v>No</x:v>
      </x:c>
      <x:c r="L124" s="5" t="n">
        <x:v>0.9746192893401016</x:v>
      </x:c>
      <x:c r="M124" t="n">
        <x:v>10</x:v>
      </x:c>
      <x:c r="N124" s="6" t="n">
        <x:v>2746</x:v>
      </x:c>
    </x:row>
    <x:row r="125">
      <x:c r="A125" t="str">
        <x:v>SHP-5124</x:v>
      </x:c>
      <x:c r="B125" s="4" t="n">
        <x:v>45772</x:v>
      </x:c>
      <x:c r="C125" t="str">
        <x:v>East</x:v>
      </x:c>
      <x:c r="D125" t="str">
        <x:v>Supplier D</x:v>
      </x:c>
      <x:c r="E125" t="str">
        <x:v>Industrial</x:v>
      </x:c>
      <x:c r="F125" t="n">
        <x:v>431</x:v>
      </x:c>
      <x:c r="G125" t="n">
        <x:v>404</x:v>
      </x:c>
      <x:c r="H125" t="n">
        <x:v>449</x:v>
      </x:c>
      <x:c r="I125" t="n">
        <x:v>6</x:v>
      </x:c>
      <x:c r="J125" t="n">
        <x:v>9</x:v>
      </x:c>
      <x:c r="K125" t="str">
        <x:v>No</x:v>
      </x:c>
      <x:c r="L125" s="5" t="n">
        <x:v>0.9373549883990719</x:v>
      </x:c>
      <x:c r="M125" t="n">
        <x:v>45</x:v>
      </x:c>
      <x:c r="N125" s="6" t="n">
        <x:v>2829</x:v>
      </x:c>
    </x:row>
    <x:row r="126">
      <x:c r="A126" t="str">
        <x:v>SHP-5125</x:v>
      </x:c>
      <x:c r="B126" s="4" t="n">
        <x:v>45782</x:v>
      </x:c>
      <x:c r="C126" t="str">
        <x:v>West</x:v>
      </x:c>
      <x:c r="D126" t="str">
        <x:v>Supplier I</x:v>
      </x:c>
      <x:c r="E126" t="str">
        <x:v>Consumer</x:v>
      </x:c>
      <x:c r="F126" t="n">
        <x:v>468</x:v>
      </x:c>
      <x:c r="G126" t="n">
        <x:v>424</x:v>
      </x:c>
      <x:c r="H126" t="n">
        <x:v>504</x:v>
      </x:c>
      <x:c r="I126" t="n">
        <x:v>7</x:v>
      </x:c>
      <x:c r="J126" t="n">
        <x:v>8</x:v>
      </x:c>
      <x:c r="K126" t="str">
        <x:v>No</x:v>
      </x:c>
      <x:c r="L126" s="5" t="n">
        <x:v>0.905982905982906</x:v>
      </x:c>
      <x:c r="M126" t="n">
        <x:v>80</x:v>
      </x:c>
      <x:c r="N126" s="6" t="n">
        <x:v>2912</x:v>
      </x:c>
    </x:row>
    <x:row r="127">
      <x:c r="A127" t="str">
        <x:v>SHP-5126</x:v>
      </x:c>
      <x:c r="B127" s="4" t="n">
        <x:v>45820</x:v>
      </x:c>
      <x:c r="C127" t="str">
        <x:v>South</x:v>
      </x:c>
      <x:c r="D127" t="str">
        <x:v>Supplier B</x:v>
      </x:c>
      <x:c r="E127" t="str">
        <x:v>Electronics</x:v>
      </x:c>
      <x:c r="F127" t="n">
        <x:v>85</x:v>
      </x:c>
      <x:c r="G127" t="n">
        <x:v>72</x:v>
      </x:c>
      <x:c r="H127" t="n">
        <x:v>139</x:v>
      </x:c>
      <x:c r="I127" t="n">
        <x:v>3</x:v>
      </x:c>
      <x:c r="J127" t="n">
        <x:v>4</x:v>
      </x:c>
      <x:c r="K127" t="str">
        <x:v>No</x:v>
      </x:c>
      <x:c r="L127" s="5" t="n">
        <x:v>0.8470588235294118</x:v>
      </x:c>
      <x:c r="M127" t="n">
        <x:v>67</x:v>
      </x:c>
      <x:c r="N127" s="6" t="n">
        <x:v>2995</x:v>
      </x:c>
    </x:row>
    <x:row r="128">
      <x:c r="A128" t="str">
        <x:v>SHP-5127</x:v>
      </x:c>
      <x:c r="B128" s="4" t="n">
        <x:v>45857</x:v>
      </x:c>
      <x:c r="C128" t="str">
        <x:v>Central</x:v>
      </x:c>
      <x:c r="D128" t="str">
        <x:v>Supplier G</x:v>
      </x:c>
      <x:c r="E128" t="str">
        <x:v>Medical</x:v>
      </x:c>
      <x:c r="F128" t="n">
        <x:v>122</x:v>
      </x:c>
      <x:c r="G128" t="n">
        <x:v>92</x:v>
      </x:c>
      <x:c r="H128" t="n">
        <x:v>68</x:v>
      </x:c>
      <x:c r="I128" t="n">
        <x:v>4</x:v>
      </x:c>
      <x:c r="J128" t="n">
        <x:v>3</x:v>
      </x:c>
      <x:c r="K128" t="str">
        <x:v>Yes</x:v>
      </x:c>
      <x:c r="L128" s="5" t="n">
        <x:v>0.7540983606557377</x:v>
      </x:c>
      <x:c r="M128" t="n">
        <x:v>24</x:v>
      </x:c>
      <x:c r="N128" s="6" t="n">
        <x:v>478</x:v>
      </x:c>
    </x:row>
    <x:row r="129">
      <x:c r="A129" t="str">
        <x:v>SHP-5128</x:v>
      </x:c>
      <x:c r="B129" s="4" t="n">
        <x:v>45895</x:v>
      </x:c>
      <x:c r="C129" t="str">
        <x:v>East</x:v>
      </x:c>
      <x:c r="D129" t="str">
        <x:v>Supplier L</x:v>
      </x:c>
      <x:c r="E129" t="str">
        <x:v>Network</x:v>
      </x:c>
      <x:c r="F129" t="n">
        <x:v>159</x:v>
      </x:c>
      <x:c r="G129" t="n">
        <x:v>112</x:v>
      </x:c>
      <x:c r="H129" t="n">
        <x:v>123</x:v>
      </x:c>
      <x:c r="I129" t="n">
        <x:v>5</x:v>
      </x:c>
      <x:c r="J129" t="n">
        <x:v>9</x:v>
      </x:c>
      <x:c r="K129" t="str">
        <x:v>No</x:v>
      </x:c>
      <x:c r="L129" s="5" t="n">
        <x:v>0.7044025157232704</x:v>
      </x:c>
      <x:c r="M129" t="n">
        <x:v>11</x:v>
      </x:c>
      <x:c r="N129" s="6" t="n">
        <x:v>561</x:v>
      </x:c>
    </x:row>
    <x:row r="130">
      <x:c r="A130" t="str">
        <x:v>SHP-5129</x:v>
      </x:c>
      <x:c r="B130" s="4" t="n">
        <x:v>45906</x:v>
      </x:c>
      <x:c r="C130" t="str">
        <x:v>West</x:v>
      </x:c>
      <x:c r="D130" t="str">
        <x:v>Supplier E</x:v>
      </x:c>
      <x:c r="E130" t="str">
        <x:v>Industrial</x:v>
      </x:c>
      <x:c r="F130" t="n">
        <x:v>196</x:v>
      </x:c>
      <x:c r="G130" t="n">
        <x:v>180</x:v>
      </x:c>
      <x:c r="H130" t="n">
        <x:v>178</x:v>
      </x:c>
      <x:c r="I130" t="n">
        <x:v>6</x:v>
      </x:c>
      <x:c r="J130" t="n">
        <x:v>10</x:v>
      </x:c>
      <x:c r="K130" t="str">
        <x:v>No</x:v>
      </x:c>
      <x:c r="L130" s="5" t="n">
        <x:v>0.9183673469387755</x:v>
      </x:c>
      <x:c r="M130" t="n">
        <x:v>2</x:v>
      </x:c>
      <x:c r="N130" s="6" t="n">
        <x:v>644</x:v>
      </x:c>
    </x:row>
    <x:row r="131">
      <x:c r="A131" t="str">
        <x:v>SHP-5130</x:v>
      </x:c>
      <x:c r="B131" s="4" t="n">
        <x:v>45943</x:v>
      </x:c>
      <x:c r="C131" t="str">
        <x:v>South</x:v>
      </x:c>
      <x:c r="D131" t="str">
        <x:v>Supplier J</x:v>
      </x:c>
      <x:c r="E131" t="str">
        <x:v>Consumer</x:v>
      </x:c>
      <x:c r="F131" t="n">
        <x:v>233</x:v>
      </x:c>
      <x:c r="G131" t="n">
        <x:v>200</x:v>
      </x:c>
      <x:c r="H131" t="n">
        <x:v>233</x:v>
      </x:c>
      <x:c r="I131" t="n">
        <x:v>7</x:v>
      </x:c>
      <x:c r="J131" t="n">
        <x:v>9</x:v>
      </x:c>
      <x:c r="K131" t="str">
        <x:v>No</x:v>
      </x:c>
      <x:c r="L131" s="5" t="n">
        <x:v>0.8583690987124464</x:v>
      </x:c>
      <x:c r="M131" t="n">
        <x:v>33</x:v>
      </x:c>
      <x:c r="N131" s="6" t="n">
        <x:v>727</x:v>
      </x:c>
    </x:row>
    <x:row r="132">
      <x:c r="A132" t="str">
        <x:v>SHP-5131</x:v>
      </x:c>
      <x:c r="B132" s="4" t="n">
        <x:v>45981</x:v>
      </x:c>
      <x:c r="C132" t="str">
        <x:v>Central</x:v>
      </x:c>
      <x:c r="D132" t="str">
        <x:v>Supplier C</x:v>
      </x:c>
      <x:c r="E132" t="str">
        <x:v>Electronics</x:v>
      </x:c>
      <x:c r="F132" t="n">
        <x:v>270</x:v>
      </x:c>
      <x:c r="G132" t="n">
        <x:v>268</x:v>
      </x:c>
      <x:c r="H132" t="n">
        <x:v>288</x:v>
      </x:c>
      <x:c r="I132" t="n">
        <x:v>3</x:v>
      </x:c>
      <x:c r="J132" t="n">
        <x:v>5</x:v>
      </x:c>
      <x:c r="K132" t="str">
        <x:v>No</x:v>
      </x:c>
      <x:c r="L132" s="5" t="n">
        <x:v>0.9925925925925926</x:v>
      </x:c>
      <x:c r="M132" t="n">
        <x:v>20</x:v>
      </x:c>
      <x:c r="N132" s="6" t="n">
        <x:v>810</x:v>
      </x:c>
    </x:row>
    <x:row r="133">
      <x:c r="A133" t="str">
        <x:v>SHP-5132</x:v>
      </x:c>
      <x:c r="B133" s="4" t="n">
        <x:v>46018</x:v>
      </x:c>
      <x:c r="C133" t="str">
        <x:v>East</x:v>
      </x:c>
      <x:c r="D133" t="str">
        <x:v>Supplier H</x:v>
      </x:c>
      <x:c r="E133" t="str">
        <x:v>Medical</x:v>
      </x:c>
      <x:c r="F133" t="n">
        <x:v>307</x:v>
      </x:c>
      <x:c r="G133" t="n">
        <x:v>288</x:v>
      </x:c>
      <x:c r="H133" t="n">
        <x:v>343</x:v>
      </x:c>
      <x:c r="I133" t="n">
        <x:v>4</x:v>
      </x:c>
      <x:c r="J133" t="n">
        <x:v>4</x:v>
      </x:c>
      <x:c r="K133" t="str">
        <x:v>Yes</x:v>
      </x:c>
      <x:c r="L133" s="5" t="n">
        <x:v>0.9381107491856677</x:v>
      </x:c>
      <x:c r="M133" t="n">
        <x:v>55</x:v>
      </x:c>
      <x:c r="N133" s="6" t="n">
        <x:v>893</x:v>
      </x:c>
    </x:row>
    <x:row r="134">
      <x:c r="A134" t="str">
        <x:v>SHP-5133</x:v>
      </x:c>
      <x:c r="B134" s="4" t="n">
        <x:v>45664</x:v>
      </x:c>
      <x:c r="C134" t="str">
        <x:v>West</x:v>
      </x:c>
      <x:c r="D134" t="str">
        <x:v>Supplier A</x:v>
      </x:c>
      <x:c r="E134" t="str">
        <x:v>Network</x:v>
      </x:c>
      <x:c r="F134" t="n">
        <x:v>344</x:v>
      </x:c>
      <x:c r="G134" t="n">
        <x:v>308</x:v>
      </x:c>
      <x:c r="H134" t="n">
        <x:v>398</x:v>
      </x:c>
      <x:c r="I134" t="n">
        <x:v>5</x:v>
      </x:c>
      <x:c r="J134" t="n">
        <x:v>8</x:v>
      </x:c>
      <x:c r="K134" t="str">
        <x:v>No</x:v>
      </x:c>
      <x:c r="L134" s="5" t="n">
        <x:v>0.8953488372093024</x:v>
      </x:c>
      <x:c r="M134" t="n">
        <x:v>90</x:v>
      </x:c>
      <x:c r="N134" s="6" t="n">
        <x:v>976</x:v>
      </x:c>
    </x:row>
    <x:row r="135">
      <x:c r="A135" t="str">
        <x:v>SHP-5134</x:v>
      </x:c>
      <x:c r="B135" s="4" t="n">
        <x:v>45702</x:v>
      </x:c>
      <x:c r="C135" t="str">
        <x:v>South</x:v>
      </x:c>
      <x:c r="D135" t="str">
        <x:v>Supplier F</x:v>
      </x:c>
      <x:c r="E135" t="str">
        <x:v>Industrial</x:v>
      </x:c>
      <x:c r="F135" t="n">
        <x:v>381</x:v>
      </x:c>
      <x:c r="G135" t="n">
        <x:v>376</x:v>
      </x:c>
      <x:c r="H135" t="n">
        <x:v>327</x:v>
      </x:c>
      <x:c r="I135" t="n">
        <x:v>6</x:v>
      </x:c>
      <x:c r="J135" t="n">
        <x:v>7</x:v>
      </x:c>
      <x:c r="K135" t="str">
        <x:v>No</x:v>
      </x:c>
      <x:c r="L135" s="5" t="n">
        <x:v>0.9868766404199475</x:v>
      </x:c>
      <x:c r="M135" t="n">
        <x:v>49</x:v>
      </x:c>
      <x:c r="N135" s="6" t="n">
        <x:v>1059</x:v>
      </x:c>
    </x:row>
    <x:row r="136">
      <x:c r="A136" t="str">
        <x:v>SHP-5135</x:v>
      </x:c>
      <x:c r="B136" s="4" t="n">
        <x:v>45737</x:v>
      </x:c>
      <x:c r="C136" t="str">
        <x:v>Central</x:v>
      </x:c>
      <x:c r="D136" t="str">
        <x:v>Supplier K</x:v>
      </x:c>
      <x:c r="E136" t="str">
        <x:v>Consumer</x:v>
      </x:c>
      <x:c r="F136" t="n">
        <x:v>418</x:v>
      </x:c>
      <x:c r="G136" t="n">
        <x:v>396</x:v>
      </x:c>
      <x:c r="H136" t="n">
        <x:v>382</x:v>
      </x:c>
      <x:c r="I136" t="n">
        <x:v>7</x:v>
      </x:c>
      <x:c r="J136" t="n">
        <x:v>6</x:v>
      </x:c>
      <x:c r="K136" t="str">
        <x:v>Yes</x:v>
      </x:c>
      <x:c r="L136" s="5" t="n">
        <x:v>0.9473684210526315</x:v>
      </x:c>
      <x:c r="M136" t="n">
        <x:v>14</x:v>
      </x:c>
      <x:c r="N136" s="6" t="n">
        <x:v>1142</x:v>
      </x:c>
    </x:row>
    <x:row r="137">
      <x:c r="A137" t="str">
        <x:v>SHP-5136</x:v>
      </x:c>
      <x:c r="B137" s="4" t="n">
        <x:v>45748</x:v>
      </x:c>
      <x:c r="C137" t="str">
        <x:v>East</x:v>
      </x:c>
      <x:c r="D137" t="str">
        <x:v>Supplier D</x:v>
      </x:c>
      <x:c r="E137" t="str">
        <x:v>Electronics</x:v>
      </x:c>
      <x:c r="F137" t="n">
        <x:v>455</x:v>
      </x:c>
      <x:c r="G137" t="n">
        <x:v>416</x:v>
      </x:c>
      <x:c r="H137" t="n">
        <x:v>437</x:v>
      </x:c>
      <x:c r="I137" t="n">
        <x:v>3</x:v>
      </x:c>
      <x:c r="J137" t="n">
        <x:v>2</x:v>
      </x:c>
      <x:c r="K137" t="str">
        <x:v>Yes</x:v>
      </x:c>
      <x:c r="L137" s="5" t="n">
        <x:v>0.9142857142857143</x:v>
      </x:c>
      <x:c r="M137" t="n">
        <x:v>21</x:v>
      </x:c>
      <x:c r="N137" s="6" t="n">
        <x:v>1225</x:v>
      </x:c>
    </x:row>
    <x:row r="138">
      <x:c r="A138" t="str">
        <x:v>SHP-5137</x:v>
      </x:c>
      <x:c r="B138" s="4" t="n">
        <x:v>45785</x:v>
      </x:c>
      <x:c r="C138" t="str">
        <x:v>West</x:v>
      </x:c>
      <x:c r="D138" t="str">
        <x:v>Supplier I</x:v>
      </x:c>
      <x:c r="E138" t="str">
        <x:v>Medical</x:v>
      </x:c>
      <x:c r="F138" t="n">
        <x:v>492</x:v>
      </x:c>
      <x:c r="G138" t="n">
        <x:v>484</x:v>
      </x:c>
      <x:c r="H138" t="n">
        <x:v>492</x:v>
      </x:c>
      <x:c r="I138" t="n">
        <x:v>4</x:v>
      </x:c>
      <x:c r="J138" t="n">
        <x:v>8</x:v>
      </x:c>
      <x:c r="K138" t="str">
        <x:v>No</x:v>
      </x:c>
      <x:c r="L138" s="5" t="n">
        <x:v>0.983739837398374</x:v>
      </x:c>
      <x:c r="M138" t="n">
        <x:v>8</x:v>
      </x:c>
      <x:c r="N138" s="6" t="n">
        <x:v>1308</x:v>
      </x:c>
    </x:row>
    <x:row r="139">
      <x:c r="A139" t="str">
        <x:v>SHP-5138</x:v>
      </x:c>
      <x:c r="B139" s="4" t="n">
        <x:v>45823</x:v>
      </x:c>
      <x:c r="C139" t="str">
        <x:v>South</x:v>
      </x:c>
      <x:c r="D139" t="str">
        <x:v>Supplier B</x:v>
      </x:c>
      <x:c r="E139" t="str">
        <x:v>Network</x:v>
      </x:c>
      <x:c r="F139" t="n">
        <x:v>109</x:v>
      </x:c>
      <x:c r="G139" t="n">
        <x:v>84</x:v>
      </x:c>
      <x:c r="H139" t="n">
        <x:v>127</x:v>
      </x:c>
      <x:c r="I139" t="n">
        <x:v>5</x:v>
      </x:c>
      <x:c r="J139" t="n">
        <x:v>9</x:v>
      </x:c>
      <x:c r="K139" t="str">
        <x:v>No</x:v>
      </x:c>
      <x:c r="L139" s="5" t="n">
        <x:v>0.7706422018348624</x:v>
      </x:c>
      <x:c r="M139" t="n">
        <x:v>43</x:v>
      </x:c>
      <x:c r="N139" s="6" t="n">
        <x:v>1391</x:v>
      </x:c>
    </x:row>
    <x:row r="140">
      <x:c r="A140" t="str">
        <x:v>SHP-5139</x:v>
      </x:c>
      <x:c r="B140" s="4" t="n">
        <x:v>45860</x:v>
      </x:c>
      <x:c r="C140" t="str">
        <x:v>Central</x:v>
      </x:c>
      <x:c r="D140" t="str">
        <x:v>Supplier G</x:v>
      </x:c>
      <x:c r="E140" t="str">
        <x:v>Industrial</x:v>
      </x:c>
      <x:c r="F140" t="n">
        <x:v>146</x:v>
      </x:c>
      <x:c r="G140" t="n">
        <x:v>104</x:v>
      </x:c>
      <x:c r="H140" t="n">
        <x:v>182</x:v>
      </x:c>
      <x:c r="I140" t="n">
        <x:v>6</x:v>
      </x:c>
      <x:c r="J140" t="n">
        <x:v>8</x:v>
      </x:c>
      <x:c r="K140" t="str">
        <x:v>No</x:v>
      </x:c>
      <x:c r="L140" s="5" t="n">
        <x:v>0.7123287671232876</x:v>
      </x:c>
      <x:c r="M140" t="n">
        <x:v>78</x:v>
      </x:c>
      <x:c r="N140" s="6" t="n">
        <x:v>1474</x:v>
      </x:c>
    </x:row>
    <x:row r="141">
      <x:c r="A141" t="str">
        <x:v>SHP-5140</x:v>
      </x:c>
      <x:c r="B141" s="4" t="n">
        <x:v>45871</x:v>
      </x:c>
      <x:c r="C141" t="str">
        <x:v>East</x:v>
      </x:c>
      <x:c r="D141" t="str">
        <x:v>Supplier L</x:v>
      </x:c>
      <x:c r="E141" t="str">
        <x:v>Consumer</x:v>
      </x:c>
      <x:c r="F141" t="n">
        <x:v>183</x:v>
      </x:c>
      <x:c r="G141" t="n">
        <x:v>172</x:v>
      </x:c>
      <x:c r="H141" t="n">
        <x:v>237</x:v>
      </x:c>
      <x:c r="I141" t="n">
        <x:v>7</x:v>
      </x:c>
      <x:c r="J141" t="n">
        <x:v>7</x:v>
      </x:c>
      <x:c r="K141" t="str">
        <x:v>Yes</x:v>
      </x:c>
      <x:c r="L141" s="5" t="n">
        <x:v>0.9398907103825137</x:v>
      </x:c>
      <x:c r="M141" t="n">
        <x:v>65</x:v>
      </x:c>
      <x:c r="N141" s="6" t="n">
        <x:v>1557</x:v>
      </x:c>
    </x:row>
    <x:row r="142">
      <x:c r="A142" t="str">
        <x:v>SHP-5141</x:v>
      </x:c>
      <x:c r="B142" s="4" t="n">
        <x:v>45909</x:v>
      </x:c>
      <x:c r="C142" t="str">
        <x:v>West</x:v>
      </x:c>
      <x:c r="D142" t="str">
        <x:v>Supplier E</x:v>
      </x:c>
      <x:c r="E142" t="str">
        <x:v>Electronics</x:v>
      </x:c>
      <x:c r="F142" t="n">
        <x:v>220</x:v>
      </x:c>
      <x:c r="G142" t="n">
        <x:v>192</x:v>
      </x:c>
      <x:c r="H142" t="n">
        <x:v>166</x:v>
      </x:c>
      <x:c r="I142" t="n">
        <x:v>3</x:v>
      </x:c>
      <x:c r="J142" t="n">
        <x:v>3</x:v>
      </x:c>
      <x:c r="K142" t="str">
        <x:v>Yes</x:v>
      </x:c>
      <x:c r="L142" s="5" t="n">
        <x:v>0.8727272727272727</x:v>
      </x:c>
      <x:c r="M142" t="n">
        <x:v>26</x:v>
      </x:c>
      <x:c r="N142" s="6" t="n">
        <x:v>1640</x:v>
      </x:c>
    </x:row>
    <x:row r="143">
      <x:c r="A143" t="str">
        <x:v>SHP-5142</x:v>
      </x:c>
      <x:c r="B143" s="4" t="n">
        <x:v>45946</x:v>
      </x:c>
      <x:c r="C143" t="str">
        <x:v>South</x:v>
      </x:c>
      <x:c r="D143" t="str">
        <x:v>Supplier J</x:v>
      </x:c>
      <x:c r="E143" t="str">
        <x:v>Medical</x:v>
      </x:c>
      <x:c r="F143" t="n">
        <x:v>257</x:v>
      </x:c>
      <x:c r="G143" t="n">
        <x:v>212</x:v>
      </x:c>
      <x:c r="H143" t="n">
        <x:v>221</x:v>
      </x:c>
      <x:c r="I143" t="n">
        <x:v>4</x:v>
      </x:c>
      <x:c r="J143" t="n">
        <x:v>2</x:v>
      </x:c>
      <x:c r="K143" t="str">
        <x:v>Yes</x:v>
      </x:c>
      <x:c r="L143" s="5" t="n">
        <x:v>0.8249027237354085</x:v>
      </x:c>
      <x:c r="M143" t="n">
        <x:v>9</x:v>
      </x:c>
      <x:c r="N143" s="6" t="n">
        <x:v>1723</x:v>
      </x:c>
    </x:row>
    <x:row r="144">
      <x:c r="A144" t="str">
        <x:v>SHP-5143</x:v>
      </x:c>
      <x:c r="B144" s="4" t="n">
        <x:v>45984</x:v>
      </x:c>
      <x:c r="C144" t="str">
        <x:v>Central</x:v>
      </x:c>
      <x:c r="D144" t="str">
        <x:v>Supplier C</x:v>
      </x:c>
      <x:c r="E144" t="str">
        <x:v>Network</x:v>
      </x:c>
      <x:c r="F144" t="n">
        <x:v>294</x:v>
      </x:c>
      <x:c r="G144" t="n">
        <x:v>280</x:v>
      </x:c>
      <x:c r="H144" t="n">
        <x:v>276</x:v>
      </x:c>
      <x:c r="I144" t="n">
        <x:v>5</x:v>
      </x:c>
      <x:c r="J144" t="n">
        <x:v>3</x:v>
      </x:c>
      <x:c r="K144" t="str">
        <x:v>Yes</x:v>
      </x:c>
      <x:c r="L144" s="5" t="n">
        <x:v>0.9523809523809523</x:v>
      </x:c>
      <x:c r="M144" t="n">
        <x:v>4</x:v>
      </x:c>
      <x:c r="N144" s="6" t="n">
        <x:v>1806</x:v>
      </x:c>
    </x:row>
    <x:row r="145">
      <x:c r="A145" t="str">
        <x:v>SHP-5144</x:v>
      </x:c>
      <x:c r="B145" s="4" t="n">
        <x:v>45994</x:v>
      </x:c>
      <x:c r="C145" t="str">
        <x:v>East</x:v>
      </x:c>
      <x:c r="D145" t="str">
        <x:v>Supplier H</x:v>
      </x:c>
      <x:c r="E145" t="str">
        <x:v>Industrial</x:v>
      </x:c>
      <x:c r="F145" t="n">
        <x:v>331</x:v>
      </x:c>
      <x:c r="G145" t="n">
        <x:v>300</x:v>
      </x:c>
      <x:c r="H145" t="n">
        <x:v>331</x:v>
      </x:c>
      <x:c r="I145" t="n">
        <x:v>6</x:v>
      </x:c>
      <x:c r="J145" t="n">
        <x:v>9</x:v>
      </x:c>
      <x:c r="K145" t="str">
        <x:v>No</x:v>
      </x:c>
      <x:c r="L145" s="5" t="n">
        <x:v>0.9063444108761329</x:v>
      </x:c>
      <x:c r="M145" t="n">
        <x:v>31</x:v>
      </x:c>
      <x:c r="N145" s="6" t="n">
        <x:v>1889</x:v>
      </x:c>
    </x:row>
    <x:row r="146">
      <x:c r="A146" t="str">
        <x:v>SHP-5145</x:v>
      </x:c>
      <x:c r="B146" s="4" t="n">
        <x:v>45667</x:v>
      </x:c>
      <x:c r="C146" t="str">
        <x:v>West</x:v>
      </x:c>
      <x:c r="D146" t="str">
        <x:v>Supplier A</x:v>
      </x:c>
      <x:c r="E146" t="str">
        <x:v>Consumer</x:v>
      </x:c>
      <x:c r="F146" t="n">
        <x:v>368</x:v>
      </x:c>
      <x:c r="G146" t="n">
        <x:v>368</x:v>
      </x:c>
      <x:c r="H146" t="n">
        <x:v>386</x:v>
      </x:c>
      <x:c r="I146" t="n">
        <x:v>7</x:v>
      </x:c>
      <x:c r="J146" t="n">
        <x:v>6</x:v>
      </x:c>
      <x:c r="K146" t="str">
        <x:v>Yes</x:v>
      </x:c>
      <x:c r="L146" s="5" t="n">
        <x:v>1</x:v>
      </x:c>
      <x:c r="M146" t="n">
        <x:v>18</x:v>
      </x:c>
      <x:c r="N146" s="6" t="n">
        <x:v>1972</x:v>
      </x:c>
    </x:row>
    <x:row r="147">
      <x:c r="A147" t="str">
        <x:v>SHP-5146</x:v>
      </x:c>
      <x:c r="B147" s="4" t="n">
        <x:v>45705</x:v>
      </x:c>
      <x:c r="C147" t="str">
        <x:v>South</x:v>
      </x:c>
      <x:c r="D147" t="str">
        <x:v>Supplier F</x:v>
      </x:c>
      <x:c r="E147" t="str">
        <x:v>Electronics</x:v>
      </x:c>
      <x:c r="F147" t="n">
        <x:v>405</x:v>
      </x:c>
      <x:c r="G147" t="n">
        <x:v>388</x:v>
      </x:c>
      <x:c r="H147" t="n">
        <x:v>441</x:v>
      </x:c>
      <x:c r="I147" t="n">
        <x:v>3</x:v>
      </x:c>
      <x:c r="J147" t="n">
        <x:v>7</x:v>
      </x:c>
      <x:c r="K147" t="str">
        <x:v>No</x:v>
      </x:c>
      <x:c r="L147" s="5" t="n">
        <x:v>0.9580246913580247</x:v>
      </x:c>
      <x:c r="M147" t="n">
        <x:v>53</x:v>
      </x:c>
      <x:c r="N147" s="6" t="n">
        <x:v>2055</x:v>
      </x:c>
    </x:row>
    <x:row r="148">
      <x:c r="A148" t="str">
        <x:v>SHP-5147</x:v>
      </x:c>
      <x:c r="B148" s="4" t="n">
        <x:v>45740</x:v>
      </x:c>
      <x:c r="C148" t="str">
        <x:v>Central</x:v>
      </x:c>
      <x:c r="D148" t="str">
        <x:v>Supplier K</x:v>
      </x:c>
      <x:c r="E148" t="str">
        <x:v>Medical</x:v>
      </x:c>
      <x:c r="F148" t="n">
        <x:v>442</x:v>
      </x:c>
      <x:c r="G148" t="n">
        <x:v>408</x:v>
      </x:c>
      <x:c r="H148" t="n">
        <x:v>496</x:v>
      </x:c>
      <x:c r="I148" t="n">
        <x:v>4</x:v>
      </x:c>
      <x:c r="J148" t="n">
        <x:v>6</x:v>
      </x:c>
      <x:c r="K148" t="str">
        <x:v>No</x:v>
      </x:c>
      <x:c r="L148" s="5" t="n">
        <x:v>0.9230769230769231</x:v>
      </x:c>
      <x:c r="M148" t="n">
        <x:v>88</x:v>
      </x:c>
      <x:c r="N148" s="6" t="n">
        <x:v>2138</x:v>
      </x:c>
    </x:row>
    <x:row r="149">
      <x:c r="A149" t="str">
        <x:v>SHP-5148</x:v>
      </x:c>
      <x:c r="B149" s="4" t="n">
        <x:v>45751</x:v>
      </x:c>
      <x:c r="C149" t="str">
        <x:v>East</x:v>
      </x:c>
      <x:c r="D149" t="str">
        <x:v>Supplier D</x:v>
      </x:c>
      <x:c r="E149" t="str">
        <x:v>Network</x:v>
      </x:c>
      <x:c r="F149" t="n">
        <x:v>479</x:v>
      </x:c>
      <x:c r="G149" t="n">
        <x:v>476</x:v>
      </x:c>
      <x:c r="H149" t="n">
        <x:v>425</x:v>
      </x:c>
      <x:c r="I149" t="n">
        <x:v>5</x:v>
      </x:c>
      <x:c r="J149" t="n">
        <x:v>7</x:v>
      </x:c>
      <x:c r="K149" t="str">
        <x:v>No</x:v>
      </x:c>
      <x:c r="L149" s="5" t="n">
        <x:v>0.9937369519832986</x:v>
      </x:c>
      <x:c r="M149" t="n">
        <x:v>51</x:v>
      </x:c>
      <x:c r="N149" s="6" t="n">
        <x:v>2221</x:v>
      </x:c>
    </x:row>
    <x:row r="150">
      <x:c r="A150" t="str">
        <x:v>SHP-5149</x:v>
      </x:c>
      <x:c r="B150" s="4" t="n">
        <x:v>45788</x:v>
      </x:c>
      <x:c r="C150" t="str">
        <x:v>West</x:v>
      </x:c>
      <x:c r="D150" t="str">
        <x:v>Supplier I</x:v>
      </x:c>
      <x:c r="E150" t="str">
        <x:v>Industrial</x:v>
      </x:c>
      <x:c r="F150" t="n">
        <x:v>96</x:v>
      </x:c>
      <x:c r="G150" t="n">
        <x:v>76</x:v>
      </x:c>
      <x:c r="H150" t="n">
        <x:v>60</x:v>
      </x:c>
      <x:c r="I150" t="n">
        <x:v>6</x:v>
      </x:c>
      <x:c r="J150" t="n">
        <x:v>6</x:v>
      </x:c>
      <x:c r="K150" t="str">
        <x:v>Yes</x:v>
      </x:c>
      <x:c r="L150" s="5" t="n">
        <x:v>0.7916666666666666</x:v>
      </x:c>
      <x:c r="M150" t="n">
        <x:v>16</x:v>
      </x:c>
      <x:c r="N150" s="6" t="n">
        <x:v>2304</x:v>
      </x:c>
    </x:row>
    <x:row r="151">
      <x:c r="A151" t="str">
        <x:v>SHP-5150</x:v>
      </x:c>
      <x:c r="B151" s="4" t="n">
        <x:v>45826</x:v>
      </x:c>
      <x:c r="C151" t="str">
        <x:v>South</x:v>
      </x:c>
      <x:c r="D151" t="str">
        <x:v>Supplier B</x:v>
      </x:c>
      <x:c r="E151" t="str">
        <x:v>Consumer</x:v>
      </x:c>
      <x:c r="F151" t="n">
        <x:v>133</x:v>
      </x:c>
      <x:c r="G151" t="n">
        <x:v>96</x:v>
      </x:c>
      <x:c r="H151" t="n">
        <x:v>115</x:v>
      </x:c>
      <x:c r="I151" t="n">
        <x:v>7</x:v>
      </x:c>
      <x:c r="J151" t="n">
        <x:v>7</x:v>
      </x:c>
      <x:c r="K151" t="str">
        <x:v>Yes</x:v>
      </x:c>
      <x:c r="L151" s="5" t="n">
        <x:v>0.7218045112781954</x:v>
      </x:c>
      <x:c r="M151" t="n">
        <x:v>19</x:v>
      </x:c>
      <x:c r="N151" s="6" t="n">
        <x:v>2387</x:v>
      </x:c>
    </x:row>
    <x:row r="152">
      <x:c r="A152" t="str">
        <x:v>SHP-5151</x:v>
      </x:c>
      <x:c r="B152" s="4" t="n">
        <x:v>45863</x:v>
      </x:c>
      <x:c r="C152" t="str">
        <x:v>Central</x:v>
      </x:c>
      <x:c r="D152" t="str">
        <x:v>Supplier G</x:v>
      </x:c>
      <x:c r="E152" t="str">
        <x:v>Electronics</x:v>
      </x:c>
      <x:c r="F152" t="n">
        <x:v>170</x:v>
      </x:c>
      <x:c r="G152" t="n">
        <x:v>164</x:v>
      </x:c>
      <x:c r="H152" t="n">
        <x:v>170</x:v>
      </x:c>
      <x:c r="I152" t="n">
        <x:v>3</x:v>
      </x:c>
      <x:c r="J152" t="n">
        <x:v>1</x:v>
      </x:c>
      <x:c r="K152" t="str">
        <x:v>Yes</x:v>
      </x:c>
      <x:c r="L152" s="5" t="n">
        <x:v>0.9647058823529412</x:v>
      </x:c>
      <x:c r="M152" t="n">
        <x:v>6</x:v>
      </x:c>
      <x:c r="N152" s="6" t="n">
        <x:v>2470</x:v>
      </x:c>
    </x:row>
    <x:row r="153">
      <x:c r="A153" t="str">
        <x:v>SHP-5152</x:v>
      </x:c>
      <x:c r="B153" s="4" t="n">
        <x:v>45874</x:v>
      </x:c>
      <x:c r="C153" t="str">
        <x:v>East</x:v>
      </x:c>
      <x:c r="D153" t="str">
        <x:v>Supplier L</x:v>
      </x:c>
      <x:c r="E153" t="str">
        <x:v>Medical</x:v>
      </x:c>
      <x:c r="F153" t="n">
        <x:v>207</x:v>
      </x:c>
      <x:c r="G153" t="n">
        <x:v>184</x:v>
      </x:c>
      <x:c r="H153" t="n">
        <x:v>225</x:v>
      </x:c>
      <x:c r="I153" t="n">
        <x:v>4</x:v>
      </x:c>
      <x:c r="J153" t="n">
        <x:v>7</x:v>
      </x:c>
      <x:c r="K153" t="str">
        <x:v>No</x:v>
      </x:c>
      <x:c r="L153" s="5" t="n">
        <x:v>0.8888888888888888</x:v>
      </x:c>
      <x:c r="M153" t="n">
        <x:v>41</x:v>
      </x:c>
      <x:c r="N153" s="6" t="n">
        <x:v>2553</x:v>
      </x:c>
    </x:row>
    <x:row r="154">
      <x:c r="A154" t="str">
        <x:v>SHP-5153</x:v>
      </x:c>
      <x:c r="B154" s="4" t="n">
        <x:v>45912</x:v>
      </x:c>
      <x:c r="C154" t="str">
        <x:v>West</x:v>
      </x:c>
      <x:c r="D154" t="str">
        <x:v>Supplier E</x:v>
      </x:c>
      <x:c r="E154" t="str">
        <x:v>Network</x:v>
      </x:c>
      <x:c r="F154" t="n">
        <x:v>244</x:v>
      </x:c>
      <x:c r="G154" t="n">
        <x:v>204</x:v>
      </x:c>
      <x:c r="H154" t="n">
        <x:v>280</x:v>
      </x:c>
      <x:c r="I154" t="n">
        <x:v>5</x:v>
      </x:c>
      <x:c r="J154" t="n">
        <x:v>8</x:v>
      </x:c>
      <x:c r="K154" t="str">
        <x:v>No</x:v>
      </x:c>
      <x:c r="L154" s="5" t="n">
        <x:v>0.8360655737704918</x:v>
      </x:c>
      <x:c r="M154" t="n">
        <x:v>76</x:v>
      </x:c>
      <x:c r="N154" s="6" t="n">
        <x:v>2636</x:v>
      </x:c>
    </x:row>
    <x:row r="155">
      <x:c r="A155" t="str">
        <x:v>SHP-5154</x:v>
      </x:c>
      <x:c r="B155" s="4" t="n">
        <x:v>45949</x:v>
      </x:c>
      <x:c r="C155" t="str">
        <x:v>South</x:v>
      </x:c>
      <x:c r="D155" t="str">
        <x:v>Supplier J</x:v>
      </x:c>
      <x:c r="E155" t="str">
        <x:v>Industrial</x:v>
      </x:c>
      <x:c r="F155" t="n">
        <x:v>281</x:v>
      </x:c>
      <x:c r="G155" t="n">
        <x:v>272</x:v>
      </x:c>
      <x:c r="H155" t="n">
        <x:v>335</x:v>
      </x:c>
      <x:c r="I155" t="n">
        <x:v>6</x:v>
      </x:c>
      <x:c r="J155" t="n">
        <x:v>7</x:v>
      </x:c>
      <x:c r="K155" t="str">
        <x:v>No</x:v>
      </x:c>
      <x:c r="L155" s="5" t="n">
        <x:v>0.9679715302491103</x:v>
      </x:c>
      <x:c r="M155" t="n">
        <x:v>63</x:v>
      </x:c>
      <x:c r="N155" s="6" t="n">
        <x:v>2719</x:v>
      </x:c>
    </x:row>
    <x:row r="156">
      <x:c r="A156" t="str">
        <x:v>SHP-5155</x:v>
      </x:c>
      <x:c r="B156" s="4" t="n">
        <x:v>45987</x:v>
      </x:c>
      <x:c r="C156" t="str">
        <x:v>Central</x:v>
      </x:c>
      <x:c r="D156" t="str">
        <x:v>Supplier C</x:v>
      </x:c>
      <x:c r="E156" t="str">
        <x:v>Consumer</x:v>
      </x:c>
      <x:c r="F156" t="n">
        <x:v>318</x:v>
      </x:c>
      <x:c r="G156" t="n">
        <x:v>292</x:v>
      </x:c>
      <x:c r="H156" t="n">
        <x:v>264</x:v>
      </x:c>
      <x:c r="I156" t="n">
        <x:v>7</x:v>
      </x:c>
      <x:c r="J156" t="n">
        <x:v>8</x:v>
      </x:c>
      <x:c r="K156" t="str">
        <x:v>No</x:v>
      </x:c>
      <x:c r="L156" s="5" t="n">
        <x:v>0.9182389937106918</x:v>
      </x:c>
      <x:c r="M156" t="n">
        <x:v>28</x:v>
      </x:c>
      <x:c r="N156" s="6" t="n">
        <x:v>2802</x:v>
      </x:c>
    </x:row>
    <x:row r="157">
      <x:c r="A157" t="str">
        <x:v>SHP-5156</x:v>
      </x:c>
      <x:c r="B157" s="4" t="n">
        <x:v>45997</x:v>
      </x:c>
      <x:c r="C157" t="str">
        <x:v>East</x:v>
      </x:c>
      <x:c r="D157" t="str">
        <x:v>Supplier H</x:v>
      </x:c>
      <x:c r="E157" t="str">
        <x:v>Electronics</x:v>
      </x:c>
      <x:c r="F157" t="n">
        <x:v>355</x:v>
      </x:c>
      <x:c r="G157" t="n">
        <x:v>312</x:v>
      </x:c>
      <x:c r="H157" t="n">
        <x:v>319</x:v>
      </x:c>
      <x:c r="I157" t="n">
        <x:v>3</x:v>
      </x:c>
      <x:c r="J157" t="n">
        <x:v>2</x:v>
      </x:c>
      <x:c r="K157" t="str">
        <x:v>Yes</x:v>
      </x:c>
      <x:c r="L157" s="5" t="n">
        <x:v>0.8788732394366198</x:v>
      </x:c>
      <x:c r="M157" t="n">
        <x:v>7</x:v>
      </x:c>
      <x:c r="N157" s="6" t="n">
        <x:v>2885</x:v>
      </x:c>
    </x:row>
    <x:row r="158">
      <x:c r="A158" t="str">
        <x:v>SHP-5157</x:v>
      </x:c>
      <x:c r="B158" s="4" t="n">
        <x:v>45670</x:v>
      </x:c>
      <x:c r="C158" t="str">
        <x:v>West</x:v>
      </x:c>
      <x:c r="D158" t="str">
        <x:v>Supplier A</x:v>
      </x:c>
      <x:c r="E158" t="str">
        <x:v>Medical</x:v>
      </x:c>
      <x:c r="F158" t="n">
        <x:v>392</x:v>
      </x:c>
      <x:c r="G158" t="n">
        <x:v>380</x:v>
      </x:c>
      <x:c r="H158" t="n">
        <x:v>374</x:v>
      </x:c>
      <x:c r="I158" t="n">
        <x:v>4</x:v>
      </x:c>
      <x:c r="J158" t="n">
        <x:v>6</x:v>
      </x:c>
      <x:c r="K158" t="str">
        <x:v>No</x:v>
      </x:c>
      <x:c r="L158" s="5" t="n">
        <x:v>0.9693877551020408</x:v>
      </x:c>
      <x:c r="M158" t="n">
        <x:v>6</x:v>
      </x:c>
      <x:c r="N158" s="6" t="n">
        <x:v>2968</x:v>
      </x:c>
    </x:row>
    <x:row r="159">
      <x:c r="A159" t="str">
        <x:v>SHP-5158</x:v>
      </x:c>
      <x:c r="B159" s="4" t="n">
        <x:v>45708</x:v>
      </x:c>
      <x:c r="C159" t="str">
        <x:v>South</x:v>
      </x:c>
      <x:c r="D159" t="str">
        <x:v>Supplier F</x:v>
      </x:c>
      <x:c r="E159" t="str">
        <x:v>Network</x:v>
      </x:c>
      <x:c r="F159" t="n">
        <x:v>429</x:v>
      </x:c>
      <x:c r="G159" t="n">
        <x:v>400</x:v>
      </x:c>
      <x:c r="H159" t="n">
        <x:v>429</x:v>
      </x:c>
      <x:c r="I159" t="n">
        <x:v>5</x:v>
      </x:c>
      <x:c r="J159" t="n">
        <x:v>5</x:v>
      </x:c>
      <x:c r="K159" t="str">
        <x:v>Yes</x:v>
      </x:c>
      <x:c r="L159" s="5" t="n">
        <x:v>0.9324009324009324</x:v>
      </x:c>
      <x:c r="M159" t="n">
        <x:v>29</x:v>
      </x:c>
      <x:c r="N159" s="6" t="n">
        <x:v>451</x:v>
      </x:c>
    </x:row>
    <x:row r="160">
      <x:c r="A160" t="str">
        <x:v>SHP-5159</x:v>
      </x:c>
      <x:c r="B160" s="4" t="n">
        <x:v>45743</x:v>
      </x:c>
      <x:c r="C160" t="str">
        <x:v>Central</x:v>
      </x:c>
      <x:c r="D160" t="str">
        <x:v>Supplier K</x:v>
      </x:c>
      <x:c r="E160" t="str">
        <x:v>Industrial</x:v>
      </x:c>
      <x:c r="F160" t="n">
        <x:v>466</x:v>
      </x:c>
      <x:c r="G160" t="n">
        <x:v>420</x:v>
      </x:c>
      <x:c r="H160" t="n">
        <x:v>484</x:v>
      </x:c>
      <x:c r="I160" t="n">
        <x:v>6</x:v>
      </x:c>
      <x:c r="J160" t="n">
        <x:v>4</x:v>
      </x:c>
      <x:c r="K160" t="str">
        <x:v>Yes</x:v>
      </x:c>
      <x:c r="L160" s="5" t="n">
        <x:v>0.9012875536480687</x:v>
      </x:c>
      <x:c r="M160" t="n">
        <x:v>64</x:v>
      </x:c>
      <x:c r="N160" s="6" t="n">
        <x:v>534</x:v>
      </x:c>
    </x:row>
    <x:row r="161">
      <x:c r="A161" t="str">
        <x:v>SHP-5160</x:v>
      </x:c>
      <x:c r="B161" s="4" t="n">
        <x:v>45754</x:v>
      </x:c>
      <x:c r="C161" t="str">
        <x:v>East</x:v>
      </x:c>
      <x:c r="D161" t="str">
        <x:v>Supplier D</x:v>
      </x:c>
      <x:c r="E161" t="str">
        <x:v>Consumer</x:v>
      </x:c>
      <x:c r="F161" t="n">
        <x:v>83</x:v>
      </x:c>
      <x:c r="G161" t="n">
        <x:v>68</x:v>
      </x:c>
      <x:c r="H161" t="n">
        <x:v>119</x:v>
      </x:c>
      <x:c r="I161" t="n">
        <x:v>7</x:v>
      </x:c>
      <x:c r="J161" t="n">
        <x:v>5</x:v>
      </x:c>
      <x:c r="K161" t="str">
        <x:v>Yes</x:v>
      </x:c>
      <x:c r="L161" s="5" t="n">
        <x:v>0.8192771084337349</x:v>
      </x:c>
      <x:c r="M161" t="n">
        <x:v>51</x:v>
      </x:c>
      <x:c r="N161" s="6" t="n">
        <x:v>617</x:v>
      </x:c>
    </x:row>
    <x:row r="162">
      <x:c r="A162" t="str">
        <x:v>SHP-5161</x:v>
      </x:c>
      <x:c r="B162" s="4" t="n">
        <x:v>45791</x:v>
      </x:c>
      <x:c r="C162" t="str">
        <x:v>West</x:v>
      </x:c>
      <x:c r="D162" t="str">
        <x:v>Supplier I</x:v>
      </x:c>
      <x:c r="E162" t="str">
        <x:v>Electronics</x:v>
      </x:c>
      <x:c r="F162" t="n">
        <x:v>120</x:v>
      </x:c>
      <x:c r="G162" t="n">
        <x:v>88</x:v>
      </x:c>
      <x:c r="H162" t="n">
        <x:v>174</x:v>
      </x:c>
      <x:c r="I162" t="n">
        <x:v>3</x:v>
      </x:c>
      <x:c r="J162" t="n">
        <x:v>6</x:v>
      </x:c>
      <x:c r="K162" t="str">
        <x:v>No</x:v>
      </x:c>
      <x:c r="L162" s="5" t="n">
        <x:v>0.7333333333333333</x:v>
      </x:c>
      <x:c r="M162" t="n">
        <x:v>86</x:v>
      </x:c>
      <x:c r="N162" s="6" t="n">
        <x:v>700</x:v>
      </x:c>
    </x:row>
    <x:row r="163">
      <x:c r="A163" t="str">
        <x:v>SHP-5162</x:v>
      </x:c>
      <x:c r="B163" s="4" t="n">
        <x:v>45829</x:v>
      </x:c>
      <x:c r="C163" t="str">
        <x:v>South</x:v>
      </x:c>
      <x:c r="D163" t="str">
        <x:v>Supplier B</x:v>
      </x:c>
      <x:c r="E163" t="str">
        <x:v>Medical</x:v>
      </x:c>
      <x:c r="F163" t="n">
        <x:v>157</x:v>
      </x:c>
      <x:c r="G163" t="n">
        <x:v>156</x:v>
      </x:c>
      <x:c r="H163" t="n">
        <x:v>103</x:v>
      </x:c>
      <x:c r="I163" t="n">
        <x:v>4</x:v>
      </x:c>
      <x:c r="J163" t="n">
        <x:v>7</x:v>
      </x:c>
      <x:c r="K163" t="str">
        <x:v>No</x:v>
      </x:c>
      <x:c r="L163" s="5" t="n">
        <x:v>0.9936305732484076</x:v>
      </x:c>
      <x:c r="M163" t="n">
        <x:v>53</x:v>
      </x:c>
      <x:c r="N163" s="6" t="n">
        <x:v>783</x:v>
      </x:c>
    </x:row>
    <x:row r="164">
      <x:c r="A164" t="str">
        <x:v>SHP-5163</x:v>
      </x:c>
      <x:c r="B164" s="4" t="n">
        <x:v>45839</x:v>
      </x:c>
      <x:c r="C164" t="str">
        <x:v>Central</x:v>
      </x:c>
      <x:c r="D164" t="str">
        <x:v>Supplier G</x:v>
      </x:c>
      <x:c r="E164" t="str">
        <x:v>Network</x:v>
      </x:c>
      <x:c r="F164" t="n">
        <x:v>194</x:v>
      </x:c>
      <x:c r="G164" t="n">
        <x:v>176</x:v>
      </x:c>
      <x:c r="H164" t="n">
        <x:v>158</x:v>
      </x:c>
      <x:c r="I164" t="n">
        <x:v>5</x:v>
      </x:c>
      <x:c r="J164" t="n">
        <x:v>6</x:v>
      </x:c>
      <x:c r="K164" t="str">
        <x:v>No</x:v>
      </x:c>
      <x:c r="L164" s="5" t="n">
        <x:v>0.9072164948453608</x:v>
      </x:c>
      <x:c r="M164" t="n">
        <x:v>18</x:v>
      </x:c>
      <x:c r="N164" s="6" t="n">
        <x:v>866</x:v>
      </x:c>
    </x:row>
    <x:row r="165">
      <x:c r="A165" t="str">
        <x:v>SHP-5164</x:v>
      </x:c>
      <x:c r="B165" s="4" t="n">
        <x:v>45877</x:v>
      </x:c>
      <x:c r="C165" t="str">
        <x:v>East</x:v>
      </x:c>
      <x:c r="D165" t="str">
        <x:v>Supplier L</x:v>
      </x:c>
      <x:c r="E165" t="str">
        <x:v>Industrial</x:v>
      </x:c>
      <x:c r="F165" t="n">
        <x:v>231</x:v>
      </x:c>
      <x:c r="G165" t="n">
        <x:v>196</x:v>
      </x:c>
      <x:c r="H165" t="n">
        <x:v>213</x:v>
      </x:c>
      <x:c r="I165" t="n">
        <x:v>6</x:v>
      </x:c>
      <x:c r="J165" t="n">
        <x:v>5</x:v>
      </x:c>
      <x:c r="K165" t="str">
        <x:v>Yes</x:v>
      </x:c>
      <x:c r="L165" s="5" t="n">
        <x:v>0.8484848484848485</x:v>
      </x:c>
      <x:c r="M165" t="n">
        <x:v>17</x:v>
      </x:c>
      <x:c r="N165" s="6" t="n">
        <x:v>949</x:v>
      </x:c>
    </x:row>
    <x:row r="166">
      <x:c r="A166" t="str">
        <x:v>SHP-5165</x:v>
      </x:c>
      <x:c r="B166" s="4" t="n">
        <x:v>45915</x:v>
      </x:c>
      <x:c r="C166" t="str">
        <x:v>West</x:v>
      </x:c>
      <x:c r="D166" t="str">
        <x:v>Supplier E</x:v>
      </x:c>
      <x:c r="E166" t="str">
        <x:v>Consumer</x:v>
      </x:c>
      <x:c r="F166" t="n">
        <x:v>268</x:v>
      </x:c>
      <x:c r="G166" t="n">
        <x:v>264</x:v>
      </x:c>
      <x:c r="H166" t="n">
        <x:v>268</x:v>
      </x:c>
      <x:c r="I166" t="n">
        <x:v>7</x:v>
      </x:c>
      <x:c r="J166" t="n">
        <x:v>6</x:v>
      </x:c>
      <x:c r="K166" t="str">
        <x:v>Yes</x:v>
      </x:c>
      <x:c r="L166" s="5" t="n">
        <x:v>0.9850746268656716</x:v>
      </x:c>
      <x:c r="M166" t="n">
        <x:v>4</x:v>
      </x:c>
      <x:c r="N166" s="6" t="n">
        <x:v>1032</x:v>
      </x:c>
    </x:row>
    <x:row r="167">
      <x:c r="A167" t="str">
        <x:v>SHP-5166</x:v>
      </x:c>
      <x:c r="B167" s="4" t="n">
        <x:v>45952</x:v>
      </x:c>
      <x:c r="C167" t="str">
        <x:v>South</x:v>
      </x:c>
      <x:c r="D167" t="str">
        <x:v>Supplier J</x:v>
      </x:c>
      <x:c r="E167" t="str">
        <x:v>Electronics</x:v>
      </x:c>
      <x:c r="F167" t="n">
        <x:v>305</x:v>
      </x:c>
      <x:c r="G167" t="n">
        <x:v>284</x:v>
      </x:c>
      <x:c r="H167" t="n">
        <x:v>323</x:v>
      </x:c>
      <x:c r="I167" t="n">
        <x:v>3</x:v>
      </x:c>
      <x:c r="J167" t="n">
        <x:v>7</x:v>
      </x:c>
      <x:c r="K167" t="str">
        <x:v>No</x:v>
      </x:c>
      <x:c r="L167" s="5" t="n">
        <x:v>0.9311475409836065</x:v>
      </x:c>
      <x:c r="M167" t="n">
        <x:v>39</x:v>
      </x:c>
      <x:c r="N167" s="6" t="n">
        <x:v>1115</x:v>
      </x:c>
    </x:row>
    <x:row r="168">
      <x:c r="A168" t="str">
        <x:v>SHP-5167</x:v>
      </x:c>
      <x:c r="B168" s="4" t="n">
        <x:v>45963</x:v>
      </x:c>
      <x:c r="C168" t="str">
        <x:v>Central</x:v>
      </x:c>
      <x:c r="D168" t="str">
        <x:v>Supplier C</x:v>
      </x:c>
      <x:c r="E168" t="str">
        <x:v>Medical</x:v>
      </x:c>
      <x:c r="F168" t="n">
        <x:v>342</x:v>
      </x:c>
      <x:c r="G168" t="n">
        <x:v>304</x:v>
      </x:c>
      <x:c r="H168" t="n">
        <x:v>378</x:v>
      </x:c>
      <x:c r="I168" t="n">
        <x:v>4</x:v>
      </x:c>
      <x:c r="J168" t="n">
        <x:v>8</x:v>
      </x:c>
      <x:c r="K168" t="str">
        <x:v>No</x:v>
      </x:c>
      <x:c r="L168" s="5" t="n">
        <x:v>0.8888888888888888</x:v>
      </x:c>
      <x:c r="M168" t="n">
        <x:v>74</x:v>
      </x:c>
      <x:c r="N168" s="6" t="n">
        <x:v>1198</x:v>
      </x:c>
    </x:row>
    <x:row r="169">
      <x:c r="A169" t="str">
        <x:v>SHP-5168</x:v>
      </x:c>
      <x:c r="B169" s="4" t="n">
        <x:v>46000</x:v>
      </x:c>
      <x:c r="C169" t="str">
        <x:v>East</x:v>
      </x:c>
      <x:c r="D169" t="str">
        <x:v>Supplier H</x:v>
      </x:c>
      <x:c r="E169" t="str">
        <x:v>Network</x:v>
      </x:c>
      <x:c r="F169" t="n">
        <x:v>379</x:v>
      </x:c>
      <x:c r="G169" t="n">
        <x:v>372</x:v>
      </x:c>
      <x:c r="H169" t="n">
        <x:v>433</x:v>
      </x:c>
      <x:c r="I169" t="n">
        <x:v>5</x:v>
      </x:c>
      <x:c r="J169" t="n">
        <x:v>7</x:v>
      </x:c>
      <x:c r="K169" t="str">
        <x:v>No</x:v>
      </x:c>
      <x:c r="L169" s="5" t="n">
        <x:v>0.9815303430079155</x:v>
      </x:c>
      <x:c r="M169" t="n">
        <x:v>61</x:v>
      </x:c>
      <x:c r="N169" s="6" t="n">
        <x:v>1281</x:v>
      </x:c>
    </x:row>
    <x:row r="170">
      <x:c r="A170" t="str">
        <x:v>SHP-5169</x:v>
      </x:c>
      <x:c r="B170" s="4" t="n">
        <x:v>45673</x:v>
      </x:c>
      <x:c r="C170" t="str">
        <x:v>West</x:v>
      </x:c>
      <x:c r="D170" t="str">
        <x:v>Supplier A</x:v>
      </x:c>
      <x:c r="E170" t="str">
        <x:v>Industrial</x:v>
      </x:c>
      <x:c r="F170" t="n">
        <x:v>416</x:v>
      </x:c>
      <x:c r="G170" t="n">
        <x:v>392</x:v>
      </x:c>
      <x:c r="H170" t="n">
        <x:v>362</x:v>
      </x:c>
      <x:c r="I170" t="n">
        <x:v>6</x:v>
      </x:c>
      <x:c r="J170" t="n">
        <x:v>4</x:v>
      </x:c>
      <x:c r="K170" t="str">
        <x:v>Yes</x:v>
      </x:c>
      <x:c r="L170" s="5" t="n">
        <x:v>0.9423076923076923</x:v>
      </x:c>
      <x:c r="M170" t="n">
        <x:v>30</x:v>
      </x:c>
      <x:c r="N170" s="6" t="n">
        <x:v>1364</x:v>
      </x:c>
    </x:row>
    <x:row r="171">
      <x:c r="A171" t="str">
        <x:v>SHP-5170</x:v>
      </x:c>
      <x:c r="B171" s="4" t="n">
        <x:v>45711</x:v>
      </x:c>
      <x:c r="C171" t="str">
        <x:v>South</x:v>
      </x:c>
      <x:c r="D171" t="str">
        <x:v>Supplier F</x:v>
      </x:c>
      <x:c r="E171" t="str">
        <x:v>Consumer</x:v>
      </x:c>
      <x:c r="F171" t="n">
        <x:v>453</x:v>
      </x:c>
      <x:c r="G171" t="n">
        <x:v>412</x:v>
      </x:c>
      <x:c r="H171" t="n">
        <x:v>417</x:v>
      </x:c>
      <x:c r="I171" t="n">
        <x:v>7</x:v>
      </x:c>
      <x:c r="J171" t="n">
        <x:v>10</x:v>
      </x:c>
      <x:c r="K171" t="str">
        <x:v>No</x:v>
      </x:c>
      <x:c r="L171" s="5" t="n">
        <x:v>0.9094922737306843</x:v>
      </x:c>
      <x:c r="M171" t="n">
        <x:v>5</x:v>
      </x:c>
      <x:c r="N171" s="6" t="n">
        <x:v>1447</x:v>
      </x:c>
    </x:row>
    <x:row r="172">
      <x:c r="A172" t="str">
        <x:v>SHP-5171</x:v>
      </x:c>
      <x:c r="B172" s="4" t="n">
        <x:v>45719</x:v>
      </x:c>
      <x:c r="C172" t="str">
        <x:v>Central</x:v>
      </x:c>
      <x:c r="D172" t="str">
        <x:v>Supplier K</x:v>
      </x:c>
      <x:c r="E172" t="str">
        <x:v>Electronics</x:v>
      </x:c>
      <x:c r="F172" t="n">
        <x:v>490</x:v>
      </x:c>
      <x:c r="G172" t="n">
        <x:v>480</x:v>
      </x:c>
      <x:c r="H172" t="n">
        <x:v>472</x:v>
      </x:c>
      <x:c r="I172" t="n">
        <x:v>3</x:v>
      </x:c>
      <x:c r="J172" t="n">
        <x:v>4</x:v>
      </x:c>
      <x:c r="K172" t="str">
        <x:v>No</x:v>
      </x:c>
      <x:c r="L172" s="5" t="n">
        <x:v>0.9795918367346939</x:v>
      </x:c>
      <x:c r="M172" t="n">
        <x:v>8</x:v>
      </x:c>
      <x:c r="N172" s="6" t="n">
        <x:v>1530</x:v>
      </x:c>
    </x:row>
    <x:row r="173">
      <x:c r="A173" t="str">
        <x:v>SHP-5172</x:v>
      </x:c>
      <x:c r="B173" s="4" t="n">
        <x:v>45757</x:v>
      </x:c>
      <x:c r="C173" t="str">
        <x:v>East</x:v>
      </x:c>
      <x:c r="D173" t="str">
        <x:v>Supplier D</x:v>
      </x:c>
      <x:c r="E173" t="str">
        <x:v>Medical</x:v>
      </x:c>
      <x:c r="F173" t="n">
        <x:v>107</x:v>
      </x:c>
      <x:c r="G173" t="n">
        <x:v>80</x:v>
      </x:c>
      <x:c r="H173" t="n">
        <x:v>107</x:v>
      </x:c>
      <x:c r="I173" t="n">
        <x:v>4</x:v>
      </x:c>
      <x:c r="J173" t="n">
        <x:v>5</x:v>
      </x:c>
      <x:c r="K173" t="str">
        <x:v>No</x:v>
      </x:c>
      <x:c r="L173" s="5" t="n">
        <x:v>0.7476635514018691</x:v>
      </x:c>
      <x:c r="M173" t="n">
        <x:v>27</x:v>
      </x:c>
      <x:c r="N173" s="6" t="n">
        <x:v>1613</x:v>
      </x:c>
    </x:row>
    <x:row r="174">
      <x:c r="A174" t="str">
        <x:v>SHP-5173</x:v>
      </x:c>
      <x:c r="B174" s="4" t="n">
        <x:v>45794</x:v>
      </x:c>
      <x:c r="C174" t="str">
        <x:v>West</x:v>
      </x:c>
      <x:c r="D174" t="str">
        <x:v>Supplier I</x:v>
      </x:c>
      <x:c r="E174" t="str">
        <x:v>Network</x:v>
      </x:c>
      <x:c r="F174" t="n">
        <x:v>144</x:v>
      </x:c>
      <x:c r="G174" t="n">
        <x:v>100</x:v>
      </x:c>
      <x:c r="H174" t="n">
        <x:v>162</x:v>
      </x:c>
      <x:c r="I174" t="n">
        <x:v>5</x:v>
      </x:c>
      <x:c r="J174" t="n">
        <x:v>4</x:v>
      </x:c>
      <x:c r="K174" t="str">
        <x:v>Yes</x:v>
      </x:c>
      <x:c r="L174" s="5" t="n">
        <x:v>0.6944444444444444</x:v>
      </x:c>
      <x:c r="M174" t="n">
        <x:v>62</x:v>
      </x:c>
      <x:c r="N174" s="6" t="n">
        <x:v>1696</x:v>
      </x:c>
    </x:row>
    <x:row r="175">
      <x:c r="A175" t="str">
        <x:v>SHP-5174</x:v>
      </x:c>
      <x:c r="B175" s="4" t="n">
        <x:v>45832</x:v>
      </x:c>
      <x:c r="C175" t="str">
        <x:v>South</x:v>
      </x:c>
      <x:c r="D175" t="str">
        <x:v>Supplier B</x:v>
      </x:c>
      <x:c r="E175" t="str">
        <x:v>Industrial</x:v>
      </x:c>
      <x:c r="F175" t="n">
        <x:v>181</x:v>
      </x:c>
      <x:c r="G175" t="n">
        <x:v>168</x:v>
      </x:c>
      <x:c r="H175" t="n">
        <x:v>217</x:v>
      </x:c>
      <x:c r="I175" t="n">
        <x:v>6</x:v>
      </x:c>
      <x:c r="J175" t="n">
        <x:v>5</x:v>
      </x:c>
      <x:c r="K175" t="str">
        <x:v>Yes</x:v>
      </x:c>
      <x:c r="L175" s="5" t="n">
        <x:v>0.9281767955801105</x:v>
      </x:c>
      <x:c r="M175" t="n">
        <x:v>49</x:v>
      </x:c>
      <x:c r="N175" s="6" t="n">
        <x:v>1779</x:v>
      </x:c>
    </x:row>
    <x:row r="176">
      <x:c r="A176" t="str">
        <x:v>SHP-5175</x:v>
      </x:c>
      <x:c r="B176" s="4" t="n">
        <x:v>45842</x:v>
      </x:c>
      <x:c r="C176" t="str">
        <x:v>Central</x:v>
      </x:c>
      <x:c r="D176" t="str">
        <x:v>Supplier G</x:v>
      </x:c>
      <x:c r="E176" t="str">
        <x:v>Consumer</x:v>
      </x:c>
      <x:c r="F176" t="n">
        <x:v>218</x:v>
      </x:c>
      <x:c r="G176" t="n">
        <x:v>188</x:v>
      </x:c>
      <x:c r="H176" t="n">
        <x:v>272</x:v>
      </x:c>
      <x:c r="I176" t="n">
        <x:v>7</x:v>
      </x:c>
      <x:c r="J176" t="n">
        <x:v>11</x:v>
      </x:c>
      <x:c r="K176" t="str">
        <x:v>No</x:v>
      </x:c>
      <x:c r="L176" s="5" t="n">
        <x:v>0.8623853211009175</x:v>
      </x:c>
      <x:c r="M176" t="n">
        <x:v>84</x:v>
      </x:c>
      <x:c r="N176" s="6" t="n">
        <x:v>1862</x:v>
      </x:c>
    </x:row>
    <x:row r="177">
      <x:c r="A177" t="str">
        <x:v>SHP-5176</x:v>
      </x:c>
      <x:c r="B177" s="4" t="n">
        <x:v>45880</x:v>
      </x:c>
      <x:c r="C177" t="str">
        <x:v>East</x:v>
      </x:c>
      <x:c r="D177" t="str">
        <x:v>Supplier L</x:v>
      </x:c>
      <x:c r="E177" t="str">
        <x:v>Electronics</x:v>
      </x:c>
      <x:c r="F177" t="n">
        <x:v>255</x:v>
      </x:c>
      <x:c r="G177" t="n">
        <x:v>208</x:v>
      </x:c>
      <x:c r="H177" t="n">
        <x:v>201</x:v>
      </x:c>
      <x:c r="I177" t="n">
        <x:v>3</x:v>
      </x:c>
      <x:c r="J177" t="n">
        <x:v>5</x:v>
      </x:c>
      <x:c r="K177" t="str">
        <x:v>No</x:v>
      </x:c>
      <x:c r="L177" s="5" t="n">
        <x:v>0.8156862745098039</x:v>
      </x:c>
      <x:c r="M177" t="n">
        <x:v>7</x:v>
      </x:c>
      <x:c r="N177" s="6" t="n">
        <x:v>1945</x:v>
      </x:c>
    </x:row>
    <x:row r="178">
      <x:c r="A178" t="str">
        <x:v>SHP-5177</x:v>
      </x:c>
      <x:c r="B178" s="4" t="n">
        <x:v>45918</x:v>
      </x:c>
      <x:c r="C178" t="str">
        <x:v>West</x:v>
      </x:c>
      <x:c r="D178" t="str">
        <x:v>Supplier E</x:v>
      </x:c>
      <x:c r="E178" t="str">
        <x:v>Medical</x:v>
      </x:c>
      <x:c r="F178" t="n">
        <x:v>292</x:v>
      </x:c>
      <x:c r="G178" t="n">
        <x:v>276</x:v>
      </x:c>
      <x:c r="H178" t="n">
        <x:v>256</x:v>
      </x:c>
      <x:c r="I178" t="n">
        <x:v>4</x:v>
      </x:c>
      <x:c r="J178" t="n">
        <x:v>6</x:v>
      </x:c>
      <x:c r="K178" t="str">
        <x:v>No</x:v>
      </x:c>
      <x:c r="L178" s="5" t="n">
        <x:v>0.9452054794520548</x:v>
      </x:c>
      <x:c r="M178" t="n">
        <x:v>20</x:v>
      </x:c>
      <x:c r="N178" s="6" t="n">
        <x:v>2028</x:v>
      </x:c>
    </x:row>
    <x:row r="179">
      <x:c r="A179" t="str">
        <x:v>SHP-5178</x:v>
      </x:c>
      <x:c r="B179" s="4" t="n">
        <x:v>45955</x:v>
      </x:c>
      <x:c r="C179" t="str">
        <x:v>South</x:v>
      </x:c>
      <x:c r="D179" t="str">
        <x:v>Supplier J</x:v>
      </x:c>
      <x:c r="E179" t="str">
        <x:v>Network</x:v>
      </x:c>
      <x:c r="F179" t="n">
        <x:v>329</x:v>
      </x:c>
      <x:c r="G179" t="n">
        <x:v>296</x:v>
      </x:c>
      <x:c r="H179" t="n">
        <x:v>311</x:v>
      </x:c>
      <x:c r="I179" t="n">
        <x:v>5</x:v>
      </x:c>
      <x:c r="J179" t="n">
        <x:v>5</x:v>
      </x:c>
      <x:c r="K179" t="str">
        <x:v>Yes</x:v>
      </x:c>
      <x:c r="L179" s="5" t="n">
        <x:v>0.8996960486322189</x:v>
      </x:c>
      <x:c r="M179" t="n">
        <x:v>15</x:v>
      </x:c>
      <x:c r="N179" s="6" t="n">
        <x:v>2111</x:v>
      </x:c>
    </x:row>
    <x:row r="180">
      <x:c r="A180" t="str">
        <x:v>SHP-5179</x:v>
      </x:c>
      <x:c r="B180" s="4" t="n">
        <x:v>45966</x:v>
      </x:c>
      <x:c r="C180" t="str">
        <x:v>Central</x:v>
      </x:c>
      <x:c r="D180" t="str">
        <x:v>Supplier C</x:v>
      </x:c>
      <x:c r="E180" t="str">
        <x:v>Industrial</x:v>
      </x:c>
      <x:c r="F180" t="n">
        <x:v>366</x:v>
      </x:c>
      <x:c r="G180" t="n">
        <x:v>364</x:v>
      </x:c>
      <x:c r="H180" t="n">
        <x:v>366</x:v>
      </x:c>
      <x:c r="I180" t="n">
        <x:v>6</x:v>
      </x:c>
      <x:c r="J180" t="n">
        <x:v>6</x:v>
      </x:c>
      <x:c r="K180" t="str">
        <x:v>Yes</x:v>
      </x:c>
      <x:c r="L180" s="5" t="n">
        <x:v>0.994535519125683</x:v>
      </x:c>
      <x:c r="M180" t="n">
        <x:v>2</x:v>
      </x:c>
      <x:c r="N180" s="6" t="n">
        <x:v>2194</x:v>
      </x:c>
    </x:row>
    <x:row r="181">
      <x:c r="A181" t="str">
        <x:v>SHP-5180</x:v>
      </x:c>
      <x:c r="B181" s="4" t="n">
        <x:v>46003</x:v>
      </x:c>
      <x:c r="C181" t="str">
        <x:v>East</x:v>
      </x:c>
      <x:c r="D181" t="str">
        <x:v>Supplier H</x:v>
      </x:c>
      <x:c r="E181" t="str">
        <x:v>Consumer</x:v>
      </x:c>
      <x:c r="F181" t="n">
        <x:v>403</x:v>
      </x:c>
      <x:c r="G181" t="n">
        <x:v>384</x:v>
      </x:c>
      <x:c r="H181" t="n">
        <x:v>421</x:v>
      </x:c>
      <x:c r="I181" t="n">
        <x:v>7</x:v>
      </x:c>
      <x:c r="J181" t="n">
        <x:v>5</x:v>
      </x:c>
      <x:c r="K181" t="str">
        <x:v>Yes</x:v>
      </x:c>
      <x:c r="L181" s="5" t="n">
        <x:v>0.9528535980148883</x:v>
      </x:c>
      <x:c r="M181" t="n">
        <x:v>37</x:v>
      </x:c>
      <x:c r="N181" s="6" t="n">
        <x:v>2277</x:v>
      </x:c>
    </x:row>
    <x:row r="182">
      <x:c r="A182" t="str">
        <x:v>SHP-5181</x:v>
      </x:c>
      <x:c r="B182" s="4" t="n">
        <x:v>45676</x:v>
      </x:c>
      <x:c r="C182" t="str">
        <x:v>West</x:v>
      </x:c>
      <x:c r="D182" t="str">
        <x:v>Supplier A</x:v>
      </x:c>
      <x:c r="E182" t="str">
        <x:v>Electronics</x:v>
      </x:c>
      <x:c r="F182" t="n">
        <x:v>440</x:v>
      </x:c>
      <x:c r="G182" t="n">
        <x:v>404</x:v>
      </x:c>
      <x:c r="H182" t="n">
        <x:v>476</x:v>
      </x:c>
      <x:c r="I182" t="n">
        <x:v>3</x:v>
      </x:c>
      <x:c r="J182" t="n">
        <x:v>4</x:v>
      </x:c>
      <x:c r="K182" t="str">
        <x:v>No</x:v>
      </x:c>
      <x:c r="L182" s="5" t="n">
        <x:v>0.9181818181818182</x:v>
      </x:c>
      <x:c r="M182" t="n">
        <x:v>72</x:v>
      </x:c>
      <x:c r="N182" s="6" t="n">
        <x:v>2360</x:v>
      </x:c>
    </x:row>
    <x:row r="183">
      <x:c r="A183" t="str">
        <x:v>SHP-5182</x:v>
      </x:c>
      <x:c r="B183" s="4" t="n">
        <x:v>45714</x:v>
      </x:c>
      <x:c r="C183" t="str">
        <x:v>South</x:v>
      </x:c>
      <x:c r="D183" t="str">
        <x:v>Supplier F</x:v>
      </x:c>
      <x:c r="E183" t="str">
        <x:v>Medical</x:v>
      </x:c>
      <x:c r="F183" t="n">
        <x:v>477</x:v>
      </x:c>
      <x:c r="G183" t="n">
        <x:v>472</x:v>
      </x:c>
      <x:c r="H183" t="n">
        <x:v>531</x:v>
      </x:c>
      <x:c r="I183" t="n">
        <x:v>4</x:v>
      </x:c>
      <x:c r="J183" t="n">
        <x:v>3</x:v>
      </x:c>
      <x:c r="K183" t="str">
        <x:v>Yes</x:v>
      </x:c>
      <x:c r="L183" s="5" t="n">
        <x:v>0.989517819706499</x:v>
      </x:c>
      <x:c r="M183" t="n">
        <x:v>59</x:v>
      </x:c>
      <x:c r="N183" s="6" t="n">
        <x:v>2443</x:v>
      </x:c>
    </x:row>
    <x:row r="184">
      <x:c r="A184" t="str">
        <x:v>SHP-5183</x:v>
      </x:c>
      <x:c r="B184" s="4" t="n">
        <x:v>45722</x:v>
      </x:c>
      <x:c r="C184" t="str">
        <x:v>Central</x:v>
      </x:c>
      <x:c r="D184" t="str">
        <x:v>Supplier K</x:v>
      </x:c>
      <x:c r="E184" t="str">
        <x:v>Network</x:v>
      </x:c>
      <x:c r="F184" t="n">
        <x:v>94</x:v>
      </x:c>
      <x:c r="G184" t="n">
        <x:v>72</x:v>
      </x:c>
      <x:c r="H184" t="n">
        <x:v>40</x:v>
      </x:c>
      <x:c r="I184" t="n">
        <x:v>5</x:v>
      </x:c>
      <x:c r="J184" t="n">
        <x:v>9</x:v>
      </x:c>
      <x:c r="K184" t="str">
        <x:v>No</x:v>
      </x:c>
      <x:c r="L184" s="5" t="n">
        <x:v>0.7659574468085106</x:v>
      </x:c>
      <x:c r="M184" t="n">
        <x:v>32</x:v>
      </x:c>
      <x:c r="N184" s="6" t="n">
        <x:v>2526</x:v>
      </x:c>
    </x:row>
    <x:row r="185">
      <x:c r="A185" t="str">
        <x:v>SHP-5184</x:v>
      </x:c>
      <x:c r="B185" s="4" t="n">
        <x:v>45760</x:v>
      </x:c>
      <x:c r="C185" t="str">
        <x:v>East</x:v>
      </x:c>
      <x:c r="D185" t="str">
        <x:v>Supplier D</x:v>
      </x:c>
      <x:c r="E185" t="str">
        <x:v>Industrial</x:v>
      </x:c>
      <x:c r="F185" t="n">
        <x:v>131</x:v>
      </x:c>
      <x:c r="G185" t="n">
        <x:v>92</x:v>
      </x:c>
      <x:c r="H185" t="n">
        <x:v>95</x:v>
      </x:c>
      <x:c r="I185" t="n">
        <x:v>6</x:v>
      </x:c>
      <x:c r="J185" t="n">
        <x:v>10</x:v>
      </x:c>
      <x:c r="K185" t="str">
        <x:v>No</x:v>
      </x:c>
      <x:c r="L185" s="5" t="n">
        <x:v>0.7022900763358778</x:v>
      </x:c>
      <x:c r="M185" t="n">
        <x:v>3</x:v>
      </x:c>
      <x:c r="N185" s="6" t="n">
        <x:v>2609</x:v>
      </x:c>
    </x:row>
    <x:row r="186">
      <x:c r="A186" t="str">
        <x:v>SHP-5185</x:v>
      </x:c>
      <x:c r="B186" s="4" t="n">
        <x:v>45797</x:v>
      </x:c>
      <x:c r="C186" t="str">
        <x:v>West</x:v>
      </x:c>
      <x:c r="D186" t="str">
        <x:v>Supplier I</x:v>
      </x:c>
      <x:c r="E186" t="str">
        <x:v>Consumer</x:v>
      </x:c>
      <x:c r="F186" t="n">
        <x:v>168</x:v>
      </x:c>
      <x:c r="G186" t="n">
        <x:v>160</x:v>
      </x:c>
      <x:c r="H186" t="n">
        <x:v>150</x:v>
      </x:c>
      <x:c r="I186" t="n">
        <x:v>7</x:v>
      </x:c>
      <x:c r="J186" t="n">
        <x:v>9</x:v>
      </x:c>
      <x:c r="K186" t="str">
        <x:v>No</x:v>
      </x:c>
      <x:c r="L186" s="5" t="n">
        <x:v>0.9523809523809523</x:v>
      </x:c>
      <x:c r="M186" t="n">
        <x:v>10</x:v>
      </x:c>
      <x:c r="N186" s="6" t="n">
        <x:v>2692</x:v>
      </x:c>
    </x:row>
    <x:row r="187">
      <x:c r="A187" t="str">
        <x:v>SHP-5186</x:v>
      </x:c>
      <x:c r="B187" s="4" t="n">
        <x:v>45835</x:v>
      </x:c>
      <x:c r="C187" t="str">
        <x:v>South</x:v>
      </x:c>
      <x:c r="D187" t="str">
        <x:v>Supplier B</x:v>
      </x:c>
      <x:c r="E187" t="str">
        <x:v>Electronics</x:v>
      </x:c>
      <x:c r="F187" t="n">
        <x:v>205</x:v>
      </x:c>
      <x:c r="G187" t="n">
        <x:v>180</x:v>
      </x:c>
      <x:c r="H187" t="n">
        <x:v>205</x:v>
      </x:c>
      <x:c r="I187" t="n">
        <x:v>3</x:v>
      </x:c>
      <x:c r="J187" t="n">
        <x:v>5</x:v>
      </x:c>
      <x:c r="K187" t="str">
        <x:v>No</x:v>
      </x:c>
      <x:c r="L187" s="5" t="n">
        <x:v>0.8780487804878049</x:v>
      </x:c>
      <x:c r="M187" t="n">
        <x:v>25</x:v>
      </x:c>
      <x:c r="N187" s="6" t="n">
        <x:v>2775</x:v>
      </x:c>
    </x:row>
    <x:row r="188">
      <x:c r="A188" t="str">
        <x:v>SHP-5187</x:v>
      </x:c>
      <x:c r="B188" s="4" t="n">
        <x:v>45845</x:v>
      </x:c>
      <x:c r="C188" t="str">
        <x:v>Central</x:v>
      </x:c>
      <x:c r="D188" t="str">
        <x:v>Supplier G</x:v>
      </x:c>
      <x:c r="E188" t="str">
        <x:v>Medical</x:v>
      </x:c>
      <x:c r="F188" t="n">
        <x:v>242</x:v>
      </x:c>
      <x:c r="G188" t="n">
        <x:v>200</x:v>
      </x:c>
      <x:c r="H188" t="n">
        <x:v>260</x:v>
      </x:c>
      <x:c r="I188" t="n">
        <x:v>4</x:v>
      </x:c>
      <x:c r="J188" t="n">
        <x:v>4</x:v>
      </x:c>
      <x:c r="K188" t="str">
        <x:v>Yes</x:v>
      </x:c>
      <x:c r="L188" s="5" t="n">
        <x:v>0.8264462809917356</x:v>
      </x:c>
      <x:c r="M188" t="n">
        <x:v>60</x:v>
      </x:c>
      <x:c r="N188" s="6" t="n">
        <x:v>2858</x:v>
      </x:c>
    </x:row>
    <x:row r="189">
      <x:c r="A189" t="str">
        <x:v>SHP-5188</x:v>
      </x:c>
      <x:c r="B189" s="4" t="n">
        <x:v>45883</x:v>
      </x:c>
      <x:c r="C189" t="str">
        <x:v>East</x:v>
      </x:c>
      <x:c r="D189" t="str">
        <x:v>Supplier L</x:v>
      </x:c>
      <x:c r="E189" t="str">
        <x:v>Network</x:v>
      </x:c>
      <x:c r="F189" t="n">
        <x:v>279</x:v>
      </x:c>
      <x:c r="G189" t="n">
        <x:v>268</x:v>
      </x:c>
      <x:c r="H189" t="n">
        <x:v>315</x:v>
      </x:c>
      <x:c r="I189" t="n">
        <x:v>5</x:v>
      </x:c>
      <x:c r="J189" t="n">
        <x:v>3</x:v>
      </x:c>
      <x:c r="K189" t="str">
        <x:v>Yes</x:v>
      </x:c>
      <x:c r="L189" s="5" t="n">
        <x:v>0.9605734767025089</x:v>
      </x:c>
      <x:c r="M189" t="n">
        <x:v>47</x:v>
      </x:c>
      <x:c r="N189" s="6" t="n">
        <x:v>2941</x:v>
      </x:c>
    </x:row>
    <x:row r="190">
      <x:c r="A190" t="str">
        <x:v>SHP-5189</x:v>
      </x:c>
      <x:c r="B190" s="4" t="n">
        <x:v>45921</x:v>
      </x:c>
      <x:c r="C190" t="str">
        <x:v>West</x:v>
      </x:c>
      <x:c r="D190" t="str">
        <x:v>Supplier E</x:v>
      </x:c>
      <x:c r="E190" t="str">
        <x:v>Industrial</x:v>
      </x:c>
      <x:c r="F190" t="n">
        <x:v>316</x:v>
      </x:c>
      <x:c r="G190" t="n">
        <x:v>288</x:v>
      </x:c>
      <x:c r="H190" t="n">
        <x:v>370</x:v>
      </x:c>
      <x:c r="I190" t="n">
        <x:v>6</x:v>
      </x:c>
      <x:c r="J190" t="n">
        <x:v>4</x:v>
      </x:c>
      <x:c r="K190" t="str">
        <x:v>Yes</x:v>
      </x:c>
      <x:c r="L190" s="5" t="n">
        <x:v>0.9113924050632911</x:v>
      </x:c>
      <x:c r="M190" t="n">
        <x:v>82</x:v>
      </x:c>
      <x:c r="N190" s="6" t="n">
        <x:v>424</x:v>
      </x:c>
    </x:row>
    <x:row r="191">
      <x:c r="A191" t="str">
        <x:v>SHP-5190</x:v>
      </x:c>
      <x:c r="B191" s="4" t="n">
        <x:v>45931</x:v>
      </x:c>
      <x:c r="C191" t="str">
        <x:v>South</x:v>
      </x:c>
      <x:c r="D191" t="str">
        <x:v>Supplier J</x:v>
      </x:c>
      <x:c r="E191" t="str">
        <x:v>Consumer</x:v>
      </x:c>
      <x:c r="F191" t="n">
        <x:v>353</x:v>
      </x:c>
      <x:c r="G191" t="n">
        <x:v>308</x:v>
      </x:c>
      <x:c r="H191" t="n">
        <x:v>299</x:v>
      </x:c>
      <x:c r="I191" t="n">
        <x:v>7</x:v>
      </x:c>
      <x:c r="J191" t="n">
        <x:v>10</x:v>
      </x:c>
      <x:c r="K191" t="str">
        <x:v>No</x:v>
      </x:c>
      <x:c r="L191" s="5" t="n">
        <x:v>0.8725212464589235</x:v>
      </x:c>
      <x:c r="M191" t="n">
        <x:v>9</x:v>
      </x:c>
      <x:c r="N191" s="6" t="n">
        <x:v>507</x:v>
      </x:c>
    </x:row>
    <x:row r="192">
      <x:c r="A192" t="str">
        <x:v>SHP-5191</x:v>
      </x:c>
      <x:c r="B192" s="4" t="n">
        <x:v>45969</x:v>
      </x:c>
      <x:c r="C192" t="str">
        <x:v>Central</x:v>
      </x:c>
      <x:c r="D192" t="str">
        <x:v>Supplier C</x:v>
      </x:c>
      <x:c r="E192" t="str">
        <x:v>Electronics</x:v>
      </x:c>
      <x:c r="F192" t="n">
        <x:v>390</x:v>
      </x:c>
      <x:c r="G192" t="n">
        <x:v>376</x:v>
      </x:c>
      <x:c r="H192" t="n">
        <x:v>354</x:v>
      </x:c>
      <x:c r="I192" t="n">
        <x:v>3</x:v>
      </x:c>
      <x:c r="J192" t="n">
        <x:v>6</x:v>
      </x:c>
      <x:c r="K192" t="str">
        <x:v>No</x:v>
      </x:c>
      <x:c r="L192" s="5" t="n">
        <x:v>0.9641025641025641</x:v>
      </x:c>
      <x:c r="M192" t="n">
        <x:v>22</x:v>
      </x:c>
      <x:c r="N192" s="6" t="n">
        <x:v>590</x:v>
      </x:c>
    </x:row>
    <x:row r="193">
      <x:c r="A193" t="str">
        <x:v>SHP-5192</x:v>
      </x:c>
      <x:c r="B193" s="4" t="n">
        <x:v>46006</x:v>
      </x:c>
      <x:c r="C193" t="str">
        <x:v>East</x:v>
      </x:c>
      <x:c r="D193" t="str">
        <x:v>Supplier H</x:v>
      </x:c>
      <x:c r="E193" t="str">
        <x:v>Medical</x:v>
      </x:c>
      <x:c r="F193" t="n">
        <x:v>427</x:v>
      </x:c>
      <x:c r="G193" t="n">
        <x:v>396</x:v>
      </x:c>
      <x:c r="H193" t="n">
        <x:v>409</x:v>
      </x:c>
      <x:c r="I193" t="n">
        <x:v>4</x:v>
      </x:c>
      <x:c r="J193" t="n">
        <x:v>5</x:v>
      </x:c>
      <x:c r="K193" t="str">
        <x:v>No</x:v>
      </x:c>
      <x:c r="L193" s="5" t="n">
        <x:v>0.927400468384075</x:v>
      </x:c>
      <x:c r="M193" t="n">
        <x:v>13</x:v>
      </x:c>
      <x:c r="N193" s="6" t="n">
        <x:v>673</x:v>
      </x:c>
    </x:row>
    <x:row r="194">
      <x:c r="A194" t="str">
        <x:v>SHP-5193</x:v>
      </x:c>
      <x:c r="B194" s="4" t="n">
        <x:v>45679</x:v>
      </x:c>
      <x:c r="C194" t="str">
        <x:v>West</x:v>
      </x:c>
      <x:c r="D194" t="str">
        <x:v>Supplier A</x:v>
      </x:c>
      <x:c r="E194" t="str">
        <x:v>Network</x:v>
      </x:c>
      <x:c r="F194" t="n">
        <x:v>464</x:v>
      </x:c>
      <x:c r="G194" t="n">
        <x:v>464</x:v>
      </x:c>
      <x:c r="H194" t="n">
        <x:v>464</x:v>
      </x:c>
      <x:c r="I194" t="n">
        <x:v>5</x:v>
      </x:c>
      <x:c r="J194" t="n">
        <x:v>9</x:v>
      </x:c>
      <x:c r="K194" t="str">
        <x:v>No</x:v>
      </x:c>
      <x:c r="L194" s="5" t="n">
        <x:v>1</x:v>
      </x:c>
      <x:c r="M194" t="n">
        <x:v>0</x:v>
      </x:c>
      <x:c r="N194" s="6" t="n">
        <x:v>756</x:v>
      </x:c>
    </x:row>
    <x:row r="195">
      <x:c r="A195" t="str">
        <x:v>SHP-5194</x:v>
      </x:c>
      <x:c r="B195" s="4" t="n">
        <x:v>45690</x:v>
      </x:c>
      <x:c r="C195" t="str">
        <x:v>South</x:v>
      </x:c>
      <x:c r="D195" t="str">
        <x:v>Supplier F</x:v>
      </x:c>
      <x:c r="E195" t="str">
        <x:v>Industrial</x:v>
      </x:c>
      <x:c r="F195" t="n">
        <x:v>81</x:v>
      </x:c>
      <x:c r="G195" t="n">
        <x:v>64</x:v>
      </x:c>
      <x:c r="H195" t="n">
        <x:v>99</x:v>
      </x:c>
      <x:c r="I195" t="n">
        <x:v>6</x:v>
      </x:c>
      <x:c r="J195" t="n">
        <x:v>8</x:v>
      </x:c>
      <x:c r="K195" t="str">
        <x:v>No</x:v>
      </x:c>
      <x:c r="L195" s="5" t="n">
        <x:v>0.7901234567901234</x:v>
      </x:c>
      <x:c r="M195" t="n">
        <x:v>35</x:v>
      </x:c>
      <x:c r="N195" s="6" t="n">
        <x:v>839</x:v>
      </x:c>
    </x:row>
    <x:row r="196">
      <x:c r="A196" t="str">
        <x:v>SHP-5195</x:v>
      </x:c>
      <x:c r="B196" s="4" t="n">
        <x:v>45725</x:v>
      </x:c>
      <x:c r="C196" t="str">
        <x:v>Central</x:v>
      </x:c>
      <x:c r="D196" t="str">
        <x:v>Supplier K</x:v>
      </x:c>
      <x:c r="E196" t="str">
        <x:v>Consumer</x:v>
      </x:c>
      <x:c r="F196" t="n">
        <x:v>118</x:v>
      </x:c>
      <x:c r="G196" t="n">
        <x:v>84</x:v>
      </x:c>
      <x:c r="H196" t="n">
        <x:v>154</x:v>
      </x:c>
      <x:c r="I196" t="n">
        <x:v>7</x:v>
      </x:c>
      <x:c r="J196" t="n">
        <x:v>7</x:v>
      </x:c>
      <x:c r="K196" t="str">
        <x:v>Yes</x:v>
      </x:c>
      <x:c r="L196" s="5" t="n">
        <x:v>0.711864406779661</x:v>
      </x:c>
      <x:c r="M196" t="n">
        <x:v>70</x:v>
      </x:c>
      <x:c r="N196" s="6" t="n">
        <x:v>922</x:v>
      </x:c>
    </x:row>
    <x:row r="197">
      <x:c r="A197" t="str">
        <x:v>SHP-5196</x:v>
      </x:c>
      <x:c r="B197" s="4" t="n">
        <x:v>45763</x:v>
      </x:c>
      <x:c r="C197" t="str">
        <x:v>East</x:v>
      </x:c>
      <x:c r="D197" t="str">
        <x:v>Supplier D</x:v>
      </x:c>
      <x:c r="E197" t="str">
        <x:v>Electronics</x:v>
      </x:c>
      <x:c r="F197" t="n">
        <x:v>155</x:v>
      </x:c>
      <x:c r="G197" t="n">
        <x:v>152</x:v>
      </x:c>
      <x:c r="H197" t="n">
        <x:v>209</x:v>
      </x:c>
      <x:c r="I197" t="n">
        <x:v>3</x:v>
      </x:c>
      <x:c r="J197" t="n">
        <x:v>3</x:v>
      </x:c>
      <x:c r="K197" t="str">
        <x:v>Yes</x:v>
      </x:c>
      <x:c r="L197" s="5" t="n">
        <x:v>0.9806451612903225</x:v>
      </x:c>
      <x:c r="M197" t="n">
        <x:v>57</x:v>
      </x:c>
      <x:c r="N197" s="6" t="n">
        <x:v>1005</x:v>
      </x:c>
    </x:row>
    <x:row r="198">
      <x:c r="A198" t="str">
        <x:v>SHP-5197</x:v>
      </x:c>
      <x:c r="B198" s="4" t="n">
        <x:v>45800</x:v>
      </x:c>
      <x:c r="C198" t="str">
        <x:v>West</x:v>
      </x:c>
      <x:c r="D198" t="str">
        <x:v>Supplier I</x:v>
      </x:c>
      <x:c r="E198" t="str">
        <x:v>Medical</x:v>
      </x:c>
      <x:c r="F198" t="n">
        <x:v>192</x:v>
      </x:c>
      <x:c r="G198" t="n">
        <x:v>172</x:v>
      </x:c>
      <x:c r="H198" t="n">
        <x:v>138</x:v>
      </x:c>
      <x:c r="I198" t="n">
        <x:v>4</x:v>
      </x:c>
      <x:c r="J198" t="n">
        <x:v>2</x:v>
      </x:c>
      <x:c r="K198" t="str">
        <x:v>Yes</x:v>
      </x:c>
      <x:c r="L198" s="5" t="n">
        <x:v>0.8958333333333334</x:v>
      </x:c>
      <x:c r="M198" t="n">
        <x:v>34</x:v>
      </x:c>
      <x:c r="N198" s="6" t="n">
        <x:v>1088</x:v>
      </x:c>
    </x:row>
    <x:row r="199">
      <x:c r="A199" t="str">
        <x:v>SHP-5198</x:v>
      </x:c>
      <x:c r="B199" s="4" t="n">
        <x:v>45811</x:v>
      </x:c>
      <x:c r="C199" t="str">
        <x:v>South</x:v>
      </x:c>
      <x:c r="D199" t="str">
        <x:v>Supplier B</x:v>
      </x:c>
      <x:c r="E199" t="str">
        <x:v>Network</x:v>
      </x:c>
      <x:c r="F199" t="n">
        <x:v>229</x:v>
      </x:c>
      <x:c r="G199" t="n">
        <x:v>192</x:v>
      </x:c>
      <x:c r="H199" t="n">
        <x:v>193</x:v>
      </x:c>
      <x:c r="I199" t="n">
        <x:v>5</x:v>
      </x:c>
      <x:c r="J199" t="n">
        <x:v>3</x:v>
      </x:c>
      <x:c r="K199" t="str">
        <x:v>Yes</x:v>
      </x:c>
      <x:c r="L199" s="5" t="n">
        <x:v>0.8384279475982532</x:v>
      </x:c>
      <x:c r="M199" t="n">
        <x:v>1</x:v>
      </x:c>
      <x:c r="N199" s="6" t="n">
        <x:v>1171</x:v>
      </x:c>
    </x:row>
    <x:row r="200">
      <x:c r="A200" t="str">
        <x:v>SHP-5199</x:v>
      </x:c>
      <x:c r="B200" s="4" t="n">
        <x:v>45848</x:v>
      </x:c>
      <x:c r="C200" t="str">
        <x:v>Central</x:v>
      </x:c>
      <x:c r="D200" t="str">
        <x:v>Supplier G</x:v>
      </x:c>
      <x:c r="E200" t="str">
        <x:v>Industrial</x:v>
      </x:c>
      <x:c r="F200" t="n">
        <x:v>266</x:v>
      </x:c>
      <x:c r="G200" t="n">
        <x:v>260</x:v>
      </x:c>
      <x:c r="H200" t="n">
        <x:v>248</x:v>
      </x:c>
      <x:c r="I200" t="n">
        <x:v>6</x:v>
      </x:c>
      <x:c r="J200" t="n">
        <x:v>9</x:v>
      </x:c>
      <x:c r="K200" t="str">
        <x:v>No</x:v>
      </x:c>
      <x:c r="L200" s="5" t="n">
        <x:v>0.9774436090225563</x:v>
      </x:c>
      <x:c r="M200" t="n">
        <x:v>12</x:v>
      </x:c>
      <x:c r="N200" s="6" t="n">
        <x:v>1254</x:v>
      </x:c>
    </x:row>
    <x:row r="201">
      <x:c r="A201" t="str">
        <x:v>SHP-5200</x:v>
      </x:c>
      <x:c r="B201" s="4" t="n">
        <x:v>45886</x:v>
      </x:c>
      <x:c r="C201" t="str">
        <x:v>East</x:v>
      </x:c>
      <x:c r="D201" t="str">
        <x:v>Supplier L</x:v>
      </x:c>
      <x:c r="E201" t="str">
        <x:v>Consumer</x:v>
      </x:c>
      <x:c r="F201" t="n">
        <x:v>303</x:v>
      </x:c>
      <x:c r="G201" t="n">
        <x:v>280</x:v>
      </x:c>
      <x:c r="H201" t="n">
        <x:v>303</x:v>
      </x:c>
      <x:c r="I201" t="n">
        <x:v>7</x:v>
      </x:c>
      <x:c r="J201" t="n">
        <x:v>8</x:v>
      </x:c>
      <x:c r="K201" t="str">
        <x:v>No</x:v>
      </x:c>
      <x:c r="L201" s="5" t="n">
        <x:v>0.9240924092409241</x:v>
      </x:c>
      <x:c r="M201" t="n">
        <x:v>23</x:v>
      </x:c>
      <x:c r="N201" s="6" t="n">
        <x:v>1337</x:v>
      </x:c>
    </x:row>
    <x:row r="202">
      <x:c r="A202" t="str">
        <x:v>SHP-5201</x:v>
      </x:c>
      <x:c r="B202" s="4" t="n">
        <x:v>45924</x:v>
      </x:c>
      <x:c r="C202" t="str">
        <x:v>West</x:v>
      </x:c>
      <x:c r="D202" t="str">
        <x:v>Supplier E</x:v>
      </x:c>
      <x:c r="E202" t="str">
        <x:v>Electronics</x:v>
      </x:c>
      <x:c r="F202" t="n">
        <x:v>340</x:v>
      </x:c>
      <x:c r="G202" t="n">
        <x:v>300</x:v>
      </x:c>
      <x:c r="H202" t="n">
        <x:v>358</x:v>
      </x:c>
      <x:c r="I202" t="n">
        <x:v>3</x:v>
      </x:c>
      <x:c r="J202" t="n">
        <x:v>4</x:v>
      </x:c>
      <x:c r="K202" t="str">
        <x:v>No</x:v>
      </x:c>
      <x:c r="L202" s="5" t="n">
        <x:v>0.8823529411764706</x:v>
      </x:c>
      <x:c r="M202" t="n">
        <x:v>58</x:v>
      </x:c>
      <x:c r="N202" s="6" t="n">
        <x:v>1420</x:v>
      </x:c>
    </x:row>
    <x:row r="203">
      <x:c r="A203" t="str">
        <x:v>SHP-5202</x:v>
      </x:c>
      <x:c r="B203" s="4" t="n">
        <x:v>45934</x:v>
      </x:c>
      <x:c r="C203" t="str">
        <x:v>South</x:v>
      </x:c>
      <x:c r="D203" t="str">
        <x:v>Supplier J</x:v>
      </x:c>
      <x:c r="E203" t="str">
        <x:v>Medical</x:v>
      </x:c>
      <x:c r="F203" t="n">
        <x:v>377</x:v>
      </x:c>
      <x:c r="G203" t="n">
        <x:v>368</x:v>
      </x:c>
      <x:c r="H203" t="n">
        <x:v>413</x:v>
      </x:c>
      <x:c r="I203" t="n">
        <x:v>4</x:v>
      </x:c>
      <x:c r="J203" t="n">
        <x:v>3</x:v>
      </x:c>
      <x:c r="K203" t="str">
        <x:v>Yes</x:v>
      </x:c>
      <x:c r="L203" s="5" t="n">
        <x:v>0.9761273209549072</x:v>
      </x:c>
      <x:c r="M203" t="n">
        <x:v>45</x:v>
      </x:c>
      <x:c r="N203" s="6" t="n">
        <x:v>1503</x:v>
      </x:c>
    </x:row>
    <x:row r="204">
      <x:c r="A204" t="str">
        <x:v>SHP-5203</x:v>
      </x:c>
      <x:c r="B204" s="4" t="n">
        <x:v>45972</x:v>
      </x:c>
      <x:c r="C204" t="str">
        <x:v>Central</x:v>
      </x:c>
      <x:c r="D204" t="str">
        <x:v>Supplier C</x:v>
      </x:c>
      <x:c r="E204" t="str">
        <x:v>Network</x:v>
      </x:c>
      <x:c r="F204" t="n">
        <x:v>414</x:v>
      </x:c>
      <x:c r="G204" t="n">
        <x:v>388</x:v>
      </x:c>
      <x:c r="H204" t="n">
        <x:v>468</x:v>
      </x:c>
      <x:c r="I204" t="n">
        <x:v>5</x:v>
      </x:c>
      <x:c r="J204" t="n">
        <x:v>4</x:v>
      </x:c>
      <x:c r="K204" t="str">
        <x:v>Yes</x:v>
      </x:c>
      <x:c r="L204" s="5" t="n">
        <x:v>0.9371980676328503</x:v>
      </x:c>
      <x:c r="M204" t="n">
        <x:v>80</x:v>
      </x:c>
      <x:c r="N204" s="6" t="n">
        <x:v>1586</x:v>
      </x:c>
    </x:row>
    <x:row r="205">
      <x:c r="A205" t="str">
        <x:v>SHP-5204</x:v>
      </x:c>
      <x:c r="B205" s="4" t="n">
        <x:v>46009</x:v>
      </x:c>
      <x:c r="C205" t="str">
        <x:v>East</x:v>
      </x:c>
      <x:c r="D205" t="str">
        <x:v>Supplier H</x:v>
      </x:c>
      <x:c r="E205" t="str">
        <x:v>Industrial</x:v>
      </x:c>
      <x:c r="F205" t="n">
        <x:v>451</x:v>
      </x:c>
      <x:c r="G205" t="n">
        <x:v>408</x:v>
      </x:c>
      <x:c r="H205" t="n">
        <x:v>397</x:v>
      </x:c>
      <x:c r="I205" t="n">
        <x:v>6</x:v>
      </x:c>
      <x:c r="J205" t="n">
        <x:v>10</x:v>
      </x:c>
      <x:c r="K205" t="str">
        <x:v>No</x:v>
      </x:c>
      <x:c r="L205" s="5" t="n">
        <x:v>0.9046563192904656</x:v>
      </x:c>
      <x:c r="M205" t="n">
        <x:v>11</x:v>
      </x:c>
      <x:c r="N205" s="6" t="n">
        <x:v>1669</x:v>
      </x:c>
    </x:row>
    <x:row r="206">
      <x:c r="A206" t="str">
        <x:v>SHP-5205</x:v>
      </x:c>
      <x:c r="B206" s="4" t="n">
        <x:v>45682</x:v>
      </x:c>
      <x:c r="C206" t="str">
        <x:v>West</x:v>
      </x:c>
      <x:c r="D206" t="str">
        <x:v>Supplier A</x:v>
      </x:c>
      <x:c r="E206" t="str">
        <x:v>Consumer</x:v>
      </x:c>
      <x:c r="F206" t="n">
        <x:v>488</x:v>
      </x:c>
      <x:c r="G206" t="n">
        <x:v>476</x:v>
      </x:c>
      <x:c r="H206" t="n">
        <x:v>452</x:v>
      </x:c>
      <x:c r="I206" t="n">
        <x:v>7</x:v>
      </x:c>
      <x:c r="J206" t="n">
        <x:v>7</x:v>
      </x:c>
      <x:c r="K206" t="str">
        <x:v>Yes</x:v>
      </x:c>
      <x:c r="L206" s="5" t="n">
        <x:v>0.9754098360655737</x:v>
      </x:c>
      <x:c r="M206" t="n">
        <x:v>24</x:v>
      </x:c>
      <x:c r="N206" s="6" t="n">
        <x:v>1752</x:v>
      </x:c>
    </x:row>
    <x:row r="207">
      <x:c r="A207" t="str">
        <x:v>SHP-5206</x:v>
      </x:c>
      <x:c r="B207" s="4" t="n">
        <x:v>45693</x:v>
      </x:c>
      <x:c r="C207" t="str">
        <x:v>South</x:v>
      </x:c>
      <x:c r="D207" t="str">
        <x:v>Supplier F</x:v>
      </x:c>
      <x:c r="E207" t="str">
        <x:v>Electronics</x:v>
      </x:c>
      <x:c r="F207" t="n">
        <x:v>105</x:v>
      </x:c>
      <x:c r="G207" t="n">
        <x:v>76</x:v>
      </x:c>
      <x:c r="H207" t="n">
        <x:v>87</x:v>
      </x:c>
      <x:c r="I207" t="n">
        <x:v>3</x:v>
      </x:c>
      <x:c r="J207" t="n">
        <x:v>1</x:v>
      </x:c>
      <x:c r="K207" t="str">
        <x:v>Yes</x:v>
      </x:c>
      <x:c r="L207" s="5" t="n">
        <x:v>0.7238095238095238</x:v>
      </x:c>
      <x:c r="M207" t="n">
        <x:v>11</x:v>
      </x:c>
      <x:c r="N207" s="6" t="n">
        <x:v>1835</x:v>
      </x:c>
    </x:row>
    <x:row r="208">
      <x:c r="A208" t="str">
        <x:v>SHP-5207</x:v>
      </x:c>
      <x:c r="B208" s="4" t="n">
        <x:v>45728</x:v>
      </x:c>
      <x:c r="C208" t="str">
        <x:v>Central</x:v>
      </x:c>
      <x:c r="D208" t="str">
        <x:v>Supplier K</x:v>
      </x:c>
      <x:c r="E208" t="str">
        <x:v>Medical</x:v>
      </x:c>
      <x:c r="F208" t="n">
        <x:v>142</x:v>
      </x:c>
      <x:c r="G208" t="n">
        <x:v>96</x:v>
      </x:c>
      <x:c r="H208" t="n">
        <x:v>142</x:v>
      </x:c>
      <x:c r="I208" t="n">
        <x:v>4</x:v>
      </x:c>
      <x:c r="J208" t="n">
        <x:v>7</x:v>
      </x:c>
      <x:c r="K208" t="str">
        <x:v>No</x:v>
      </x:c>
      <x:c r="L208" s="5" t="n">
        <x:v>0.676056338028169</x:v>
      </x:c>
      <x:c r="M208" t="n">
        <x:v>46</x:v>
      </x:c>
      <x:c r="N208" s="6" t="n">
        <x:v>1918</x:v>
      </x:c>
    </x:row>
    <x:row r="209">
      <x:c r="A209" t="str">
        <x:v>SHP-5208</x:v>
      </x:c>
      <x:c r="B209" s="4" t="n">
        <x:v>45766</x:v>
      </x:c>
      <x:c r="C209" t="str">
        <x:v>East</x:v>
      </x:c>
      <x:c r="D209" t="str">
        <x:v>Supplier D</x:v>
      </x:c>
      <x:c r="E209" t="str">
        <x:v>Network</x:v>
      </x:c>
      <x:c r="F209" t="n">
        <x:v>179</x:v>
      </x:c>
      <x:c r="G209" t="n">
        <x:v>164</x:v>
      </x:c>
      <x:c r="H209" t="n">
        <x:v>197</x:v>
      </x:c>
      <x:c r="I209" t="n">
        <x:v>5</x:v>
      </x:c>
      <x:c r="J209" t="n">
        <x:v>8</x:v>
      </x:c>
      <x:c r="K209" t="str">
        <x:v>No</x:v>
      </x:c>
      <x:c r="L209" s="5" t="n">
        <x:v>0.9162011173184358</x:v>
      </x:c>
      <x:c r="M209" t="n">
        <x:v>33</x:v>
      </x:c>
      <x:c r="N209" s="6" t="n">
        <x:v>2001</x:v>
      </x:c>
    </x:row>
    <x:row r="210">
      <x:c r="A210" t="str">
        <x:v>SHP-5209</x:v>
      </x:c>
      <x:c r="B210" s="4" t="n">
        <x:v>45803</x:v>
      </x:c>
      <x:c r="C210" t="str">
        <x:v>West</x:v>
      </x:c>
      <x:c r="D210" t="str">
        <x:v>Supplier I</x:v>
      </x:c>
      <x:c r="E210" t="str">
        <x:v>Industrial</x:v>
      </x:c>
      <x:c r="F210" t="n">
        <x:v>216</x:v>
      </x:c>
      <x:c r="G210" t="n">
        <x:v>184</x:v>
      </x:c>
      <x:c r="H210" t="n">
        <x:v>252</x:v>
      </x:c>
      <x:c r="I210" t="n">
        <x:v>6</x:v>
      </x:c>
      <x:c r="J210" t="n">
        <x:v>7</x:v>
      </x:c>
      <x:c r="K210" t="str">
        <x:v>No</x:v>
      </x:c>
      <x:c r="L210" s="5" t="n">
        <x:v>0.8518518518518519</x:v>
      </x:c>
      <x:c r="M210" t="n">
        <x:v>68</x:v>
      </x:c>
      <x:c r="N210" s="6" t="n">
        <x:v>2084</x:v>
      </x:c>
    </x:row>
    <x:row r="211">
      <x:c r="A211" t="str">
        <x:v>SHP-5210</x:v>
      </x:c>
      <x:c r="B211" s="4" t="n">
        <x:v>45814</x:v>
      </x:c>
      <x:c r="C211" t="str">
        <x:v>South</x:v>
      </x:c>
      <x:c r="D211" t="str">
        <x:v>Supplier B</x:v>
      </x:c>
      <x:c r="E211" t="str">
        <x:v>Consumer</x:v>
      </x:c>
      <x:c r="F211" t="n">
        <x:v>253</x:v>
      </x:c>
      <x:c r="G211" t="n">
        <x:v>252</x:v>
      </x:c>
      <x:c r="H211" t="n">
        <x:v>307</x:v>
      </x:c>
      <x:c r="I211" t="n">
        <x:v>7</x:v>
      </x:c>
      <x:c r="J211" t="n">
        <x:v>8</x:v>
      </x:c>
      <x:c r="K211" t="str">
        <x:v>No</x:v>
      </x:c>
      <x:c r="L211" s="5" t="n">
        <x:v>0.9960474308300395</x:v>
      </x:c>
      <x:c r="M211" t="n">
        <x:v>55</x:v>
      </x:c>
      <x:c r="N211" s="6" t="n">
        <x:v>2167</x:v>
      </x:c>
    </x:row>
    <x:row r="212">
      <x:c r="A212" t="str">
        <x:v>SHP-5211</x:v>
      </x:c>
      <x:c r="B212" s="4" t="n">
        <x:v>45851</x:v>
      </x:c>
      <x:c r="C212" t="str">
        <x:v>Central</x:v>
      </x:c>
      <x:c r="D212" t="str">
        <x:v>Supplier G</x:v>
      </x:c>
      <x:c r="E212" t="str">
        <x:v>Electronics</x:v>
      </x:c>
      <x:c r="F212" t="n">
        <x:v>290</x:v>
      </x:c>
      <x:c r="G212" t="n">
        <x:v>272</x:v>
      </x:c>
      <x:c r="H212" t="n">
        <x:v>236</x:v>
      </x:c>
      <x:c r="I212" t="n">
        <x:v>3</x:v>
      </x:c>
      <x:c r="J212" t="n">
        <x:v>2</x:v>
      </x:c>
      <x:c r="K212" t="str">
        <x:v>Yes</x:v>
      </x:c>
      <x:c r="L212" s="5" t="n">
        <x:v>0.9379310344827586</x:v>
      </x:c>
      <x:c r="M212" t="n">
        <x:v>36</x:v>
      </x:c>
      <x:c r="N212" s="6" t="n">
        <x:v>2250</x:v>
      </x:c>
    </x:row>
    <x:row r="213">
      <x:c r="A213" t="str">
        <x:v>SHP-5212</x:v>
      </x:c>
      <x:c r="B213" s="4" t="n">
        <x:v>45889</x:v>
      </x:c>
      <x:c r="C213" t="str">
        <x:v>East</x:v>
      </x:c>
      <x:c r="D213" t="str">
        <x:v>Supplier L</x:v>
      </x:c>
      <x:c r="E213" t="str">
        <x:v>Medical</x:v>
      </x:c>
      <x:c r="F213" t="n">
        <x:v>327</x:v>
      </x:c>
      <x:c r="G213" t="n">
        <x:v>292</x:v>
      </x:c>
      <x:c r="H213" t="n">
        <x:v>291</x:v>
      </x:c>
      <x:c r="I213" t="n">
        <x:v>4</x:v>
      </x:c>
      <x:c r="J213" t="n">
        <x:v>8</x:v>
      </x:c>
      <x:c r="K213" t="str">
        <x:v>No</x:v>
      </x:c>
      <x:c r="L213" s="5" t="n">
        <x:v>0.8929663608562691</x:v>
      </x:c>
      <x:c r="M213" t="n">
        <x:v>1</x:v>
      </x:c>
      <x:c r="N213" s="6" t="n">
        <x:v>2333</x:v>
      </x:c>
    </x:row>
    <x:row r="214">
      <x:c r="A214" t="str">
        <x:v>SHP-5213</x:v>
      </x:c>
      <x:c r="B214" s="4" t="n">
        <x:v>45927</x:v>
      </x:c>
      <x:c r="C214" t="str">
        <x:v>West</x:v>
      </x:c>
      <x:c r="D214" t="str">
        <x:v>Supplier E</x:v>
      </x:c>
      <x:c r="E214" t="str">
        <x:v>Network</x:v>
      </x:c>
      <x:c r="F214" t="n">
        <x:v>364</x:v>
      </x:c>
      <x:c r="G214" t="n">
        <x:v>360</x:v>
      </x:c>
      <x:c r="H214" t="n">
        <x:v>346</x:v>
      </x:c>
      <x:c r="I214" t="n">
        <x:v>5</x:v>
      </x:c>
      <x:c r="J214" t="n">
        <x:v>9</x:v>
      </x:c>
      <x:c r="K214" t="str">
        <x:v>No</x:v>
      </x:c>
      <x:c r="L214" s="5" t="n">
        <x:v>0.989010989010989</x:v>
      </x:c>
      <x:c r="M214" t="n">
        <x:v>14</x:v>
      </x:c>
      <x:c r="N214" s="6" t="n">
        <x:v>2416</x:v>
      </x:c>
    </x:row>
    <x:row r="215">
      <x:c r="A215" t="str">
        <x:v>SHP-5214</x:v>
      </x:c>
      <x:c r="B215" s="4" t="n">
        <x:v>45937</x:v>
      </x:c>
      <x:c r="C215" t="str">
        <x:v>South</x:v>
      </x:c>
      <x:c r="D215" t="str">
        <x:v>Supplier J</x:v>
      </x:c>
      <x:c r="E215" t="str">
        <x:v>Industrial</x:v>
      </x:c>
      <x:c r="F215" t="n">
        <x:v>401</x:v>
      </x:c>
      <x:c r="G215" t="n">
        <x:v>380</x:v>
      </x:c>
      <x:c r="H215" t="n">
        <x:v>401</x:v>
      </x:c>
      <x:c r="I215" t="n">
        <x:v>6</x:v>
      </x:c>
      <x:c r="J215" t="n">
        <x:v>8</x:v>
      </x:c>
      <x:c r="K215" t="str">
        <x:v>No</x:v>
      </x:c>
      <x:c r="L215" s="5" t="n">
        <x:v>0.9476309226932669</x:v>
      </x:c>
      <x:c r="M215" t="n">
        <x:v>21</x:v>
      </x:c>
      <x:c r="N215" s="6" t="n">
        <x:v>2499</x:v>
      </x:c>
    </x:row>
    <x:row r="216">
      <x:c r="A216" t="str">
        <x:v>SHP-5215</x:v>
      </x:c>
      <x:c r="B216" s="4" t="n">
        <x:v>45975</x:v>
      </x:c>
      <x:c r="C216" t="str">
        <x:v>Central</x:v>
      </x:c>
      <x:c r="D216" t="str">
        <x:v>Supplier C</x:v>
      </x:c>
      <x:c r="E216" t="str">
        <x:v>Consumer</x:v>
      </x:c>
      <x:c r="F216" t="n">
        <x:v>438</x:v>
      </x:c>
      <x:c r="G216" t="n">
        <x:v>400</x:v>
      </x:c>
      <x:c r="H216" t="n">
        <x:v>456</x:v>
      </x:c>
      <x:c r="I216" t="n">
        <x:v>7</x:v>
      </x:c>
      <x:c r="J216" t="n">
        <x:v>9</x:v>
      </x:c>
      <x:c r="K216" t="str">
        <x:v>No</x:v>
      </x:c>
      <x:c r="L216" s="5" t="n">
        <x:v>0.91324200913242</x:v>
      </x:c>
      <x:c r="M216" t="n">
        <x:v>56</x:v>
      </x:c>
      <x:c r="N216" s="6" t="n">
        <x:v>2582</x:v>
      </x:c>
    </x:row>
    <x:row r="217">
      <x:c r="A217" t="str">
        <x:v>SHP-5216</x:v>
      </x:c>
      <x:c r="B217" s="4" t="n">
        <x:v>46012</x:v>
      </x:c>
      <x:c r="C217" t="str">
        <x:v>East</x:v>
      </x:c>
      <x:c r="D217" t="str">
        <x:v>Supplier H</x:v>
      </x:c>
      <x:c r="E217" t="str">
        <x:v>Electronics</x:v>
      </x:c>
      <x:c r="F217" t="n">
        <x:v>475</x:v>
      </x:c>
      <x:c r="G217" t="n">
        <x:v>468</x:v>
      </x:c>
      <x:c r="H217" t="n">
        <x:v>511</x:v>
      </x:c>
      <x:c r="I217" t="n">
        <x:v>3</x:v>
      </x:c>
      <x:c r="J217" t="n">
        <x:v>3</x:v>
      </x:c>
      <x:c r="K217" t="str">
        <x:v>Yes</x:v>
      </x:c>
      <x:c r="L217" s="5" t="n">
        <x:v>0.9852631578947368</x:v>
      </x:c>
      <x:c r="M217" t="n">
        <x:v>43</x:v>
      </x:c>
      <x:c r="N217" s="6" t="n">
        <x:v>2665</x:v>
      </x:c>
    </x:row>
    <x:row r="218">
      <x:c r="A218" t="str">
        <x:v>SHP-5217</x:v>
      </x:c>
      <x:c r="B218" s="4" t="n">
        <x:v>45658</x:v>
      </x:c>
      <x:c r="C218" t="str">
        <x:v>West</x:v>
      </x:c>
      <x:c r="D218" t="str">
        <x:v>Supplier A</x:v>
      </x:c>
      <x:c r="E218" t="str">
        <x:v>Medical</x:v>
      </x:c>
      <x:c r="F218" t="n">
        <x:v>92</x:v>
      </x:c>
      <x:c r="G218" t="n">
        <x:v>68</x:v>
      </x:c>
      <x:c r="H218" t="n">
        <x:v>146</x:v>
      </x:c>
      <x:c r="I218" t="n">
        <x:v>4</x:v>
      </x:c>
      <x:c r="J218" t="n">
        <x:v>7</x:v>
      </x:c>
      <x:c r="K218" t="str">
        <x:v>No</x:v>
      </x:c>
      <x:c r="L218" s="5" t="n">
        <x:v>0.7391304347826086</x:v>
      </x:c>
      <x:c r="M218" t="n">
        <x:v>78</x:v>
      </x:c>
      <x:c r="N218" s="6" t="n">
        <x:v>2748</x:v>
      </x:c>
    </x:row>
    <x:row r="219">
      <x:c r="A219" t="str">
        <x:v>SHP-5218</x:v>
      </x:c>
      <x:c r="B219" s="4" t="n">
        <x:v>45696</x:v>
      </x:c>
      <x:c r="C219" t="str">
        <x:v>South</x:v>
      </x:c>
      <x:c r="D219" t="str">
        <x:v>Supplier F</x:v>
      </x:c>
      <x:c r="E219" t="str">
        <x:v>Network</x:v>
      </x:c>
      <x:c r="F219" t="n">
        <x:v>129</x:v>
      </x:c>
      <x:c r="G219" t="n">
        <x:v>88</x:v>
      </x:c>
      <x:c r="H219" t="n">
        <x:v>75</x:v>
      </x:c>
      <x:c r="I219" t="n">
        <x:v>5</x:v>
      </x:c>
      <x:c r="J219" t="n">
        <x:v>6</x:v>
      </x:c>
      <x:c r="K219" t="str">
        <x:v>No</x:v>
      </x:c>
      <x:c r="L219" s="5" t="n">
        <x:v>0.6821705426356589</x:v>
      </x:c>
      <x:c r="M219" t="n">
        <x:v>13</x:v>
      </x:c>
      <x:c r="N219" s="6" t="n">
        <x:v>2831</x:v>
      </x:c>
    </x:row>
    <x:row r="220">
      <x:c r="A220" t="str">
        <x:v>SHP-5219</x:v>
      </x:c>
      <x:c r="B220" s="4" t="n">
        <x:v>45731</x:v>
      </x:c>
      <x:c r="C220" t="str">
        <x:v>Central</x:v>
      </x:c>
      <x:c r="D220" t="str">
        <x:v>Supplier K</x:v>
      </x:c>
      <x:c r="E220" t="str">
        <x:v>Industrial</x:v>
      </x:c>
      <x:c r="F220" t="n">
        <x:v>166</x:v>
      </x:c>
      <x:c r="G220" t="n">
        <x:v>156</x:v>
      </x:c>
      <x:c r="H220" t="n">
        <x:v>130</x:v>
      </x:c>
      <x:c r="I220" t="n">
        <x:v>6</x:v>
      </x:c>
      <x:c r="J220" t="n">
        <x:v>5</x:v>
      </x:c>
      <x:c r="K220" t="str">
        <x:v>Yes</x:v>
      </x:c>
      <x:c r="L220" s="5" t="n">
        <x:v>0.9397590361445783</x:v>
      </x:c>
      <x:c r="M220" t="n">
        <x:v>26</x:v>
      </x:c>
      <x:c r="N220" s="6" t="n">
        <x:v>2914</x:v>
      </x:c>
    </x:row>
    <x:row r="221">
      <x:c r="A221" t="str">
        <x:v>SHP-5220</x:v>
      </x:c>
      <x:c r="B221" s="4" t="n">
        <x:v>45769</x:v>
      </x:c>
      <x:c r="C221" t="str">
        <x:v>East</x:v>
      </x:c>
      <x:c r="D221" t="str">
        <x:v>Supplier D</x:v>
      </x:c>
      <x:c r="E221" t="str">
        <x:v>Consumer</x:v>
      </x:c>
      <x:c r="F221" t="n">
        <x:v>203</x:v>
      </x:c>
      <x:c r="G221" t="n">
        <x:v>176</x:v>
      </x:c>
      <x:c r="H221" t="n">
        <x:v>185</x:v>
      </x:c>
      <x:c r="I221" t="n">
        <x:v>7</x:v>
      </x:c>
      <x:c r="J221" t="n">
        <x:v>6</x:v>
      </x:c>
      <x:c r="K221" t="str">
        <x:v>Yes</x:v>
      </x:c>
      <x:c r="L221" s="5" t="n">
        <x:v>0.8669950738916257</x:v>
      </x:c>
      <x:c r="M221" t="n">
        <x:v>9</x:v>
      </x:c>
      <x:c r="N221" s="6" t="n">
        <x:v>2997</x:v>
      </x:c>
    </x:row>
    <x:row r="222">
      <x:c r="A222" t="str">
        <x:v>SHP-5221</x:v>
      </x:c>
      <x:c r="B222" s="4" t="n">
        <x:v>45779</x:v>
      </x:c>
      <x:c r="C222" t="str">
        <x:v>West</x:v>
      </x:c>
      <x:c r="D222" t="str">
        <x:v>Supplier I</x:v>
      </x:c>
      <x:c r="E222" t="str">
        <x:v>Electronics</x:v>
      </x:c>
      <x:c r="F222" t="n">
        <x:v>240</x:v>
      </x:c>
      <x:c r="G222" t="n">
        <x:v>196</x:v>
      </x:c>
      <x:c r="H222" t="n">
        <x:v>240</x:v>
      </x:c>
      <x:c r="I222" t="n">
        <x:v>3</x:v>
      </x:c>
      <x:c r="J222" t="n">
        <x:v>7</x:v>
      </x:c>
      <x:c r="K222" t="str">
        <x:v>No</x:v>
      </x:c>
      <x:c r="L222" s="5" t="n">
        <x:v>0.8166666666666667</x:v>
      </x:c>
      <x:c r="M222" t="n">
        <x:v>44</x:v>
      </x:c>
      <x:c r="N222" s="6" t="n">
        <x:v>480</x:v>
      </x:c>
    </x:row>
    <x:row r="223">
      <x:c r="A223" t="str">
        <x:v>SHP-5222</x:v>
      </x:c>
      <x:c r="B223" s="4" t="n">
        <x:v>45817</x:v>
      </x:c>
      <x:c r="C223" t="str">
        <x:v>South</x:v>
      </x:c>
      <x:c r="D223" t="str">
        <x:v>Supplier B</x:v>
      </x:c>
      <x:c r="E223" t="str">
        <x:v>Medical</x:v>
      </x:c>
      <x:c r="F223" t="n">
        <x:v>277</x:v>
      </x:c>
      <x:c r="G223" t="n">
        <x:v>264</x:v>
      </x:c>
      <x:c r="H223" t="n">
        <x:v>295</x:v>
      </x:c>
      <x:c r="I223" t="n">
        <x:v>4</x:v>
      </x:c>
      <x:c r="J223" t="n">
        <x:v>8</x:v>
      </x:c>
      <x:c r="K223" t="str">
        <x:v>No</x:v>
      </x:c>
      <x:c r="L223" s="5" t="n">
        <x:v>0.9530685920577617</x:v>
      </x:c>
      <x:c r="M223" t="n">
        <x:v>31</x:v>
      </x:c>
      <x:c r="N223" s="6" t="n">
        <x:v>563</x:v>
      </x:c>
    </x:row>
    <x:row r="224">
      <x:c r="A224" t="str">
        <x:v>SHP-5223</x:v>
      </x:c>
      <x:c r="B224" s="4" t="n">
        <x:v>45854</x:v>
      </x:c>
      <x:c r="C224" t="str">
        <x:v>Central</x:v>
      </x:c>
      <x:c r="D224" t="str">
        <x:v>Supplier G</x:v>
      </x:c>
      <x:c r="E224" t="str">
        <x:v>Network</x:v>
      </x:c>
      <x:c r="F224" t="n">
        <x:v>314</x:v>
      </x:c>
      <x:c r="G224" t="n">
        <x:v>284</x:v>
      </x:c>
      <x:c r="H224" t="n">
        <x:v>350</x:v>
      </x:c>
      <x:c r="I224" t="n">
        <x:v>5</x:v>
      </x:c>
      <x:c r="J224" t="n">
        <x:v>7</x:v>
      </x:c>
      <x:c r="K224" t="str">
        <x:v>No</x:v>
      </x:c>
      <x:c r="L224" s="5" t="n">
        <x:v>0.9044585987261147</x:v>
      </x:c>
      <x:c r="M224" t="n">
        <x:v>66</x:v>
      </x:c>
      <x:c r="N224" s="6" t="n">
        <x:v>646</x:v>
      </x:c>
    </x:row>
    <x:row r="225">
      <x:c r="A225" t="str">
        <x:v>SHP-5224</x:v>
      </x:c>
      <x:c r="B225" s="4" t="n">
        <x:v>45892</x:v>
      </x:c>
      <x:c r="C225" t="str">
        <x:v>East</x:v>
      </x:c>
      <x:c r="D225" t="str">
        <x:v>Supplier L</x:v>
      </x:c>
      <x:c r="E225" t="str">
        <x:v>Industrial</x:v>
      </x:c>
      <x:c r="F225" t="n">
        <x:v>351</x:v>
      </x:c>
      <x:c r="G225" t="n">
        <x:v>304</x:v>
      </x:c>
      <x:c r="H225" t="n">
        <x:v>405</x:v>
      </x:c>
      <x:c r="I225" t="n">
        <x:v>6</x:v>
      </x:c>
      <x:c r="J225" t="n">
        <x:v>6</x:v>
      </x:c>
      <x:c r="K225" t="str">
        <x:v>Yes</x:v>
      </x:c>
      <x:c r="L225" s="5" t="n">
        <x:v>0.8660968660968661</x:v>
      </x:c>
      <x:c r="M225" t="n">
        <x:v>101</x:v>
      </x:c>
      <x:c r="N225" s="6" t="n">
        <x:v>729</x:v>
      </x:c>
    </x:row>
    <x:row r="226">
      <x:c r="A226" t="str">
        <x:v>SHP-5225</x:v>
      </x:c>
      <x:c r="B226" s="4" t="n">
        <x:v>45903</x:v>
      </x:c>
      <x:c r="C226" t="str">
        <x:v>West</x:v>
      </x:c>
      <x:c r="D226" t="str">
        <x:v>Supplier E</x:v>
      </x:c>
      <x:c r="E226" t="str">
        <x:v>Consumer</x:v>
      </x:c>
      <x:c r="F226" t="n">
        <x:v>388</x:v>
      </x:c>
      <x:c r="G226" t="n">
        <x:v>372</x:v>
      </x:c>
      <x:c r="H226" t="n">
        <x:v>334</x:v>
      </x:c>
      <x:c r="I226" t="n">
        <x:v>7</x:v>
      </x:c>
      <x:c r="J226" t="n">
        <x:v>7</x:v>
      </x:c>
      <x:c r="K226" t="str">
        <x:v>Yes</x:v>
      </x:c>
      <x:c r="L226" s="5" t="n">
        <x:v>0.9587628865979382</x:v>
      </x:c>
      <x:c r="M226" t="n">
        <x:v>38</x:v>
      </x:c>
      <x:c r="N226" s="6" t="n">
        <x:v>812</x:v>
      </x:c>
    </x:row>
    <x:row r="227">
      <x:c r="A227" t="str">
        <x:v>SHP-5226</x:v>
      </x:c>
      <x:c r="B227" s="4" t="n">
        <x:v>45940</x:v>
      </x:c>
      <x:c r="C227" t="str">
        <x:v>South</x:v>
      </x:c>
      <x:c r="D227" t="str">
        <x:v>Supplier J</x:v>
      </x:c>
      <x:c r="E227" t="str">
        <x:v>Electronics</x:v>
      </x:c>
      <x:c r="F227" t="n">
        <x:v>425</x:v>
      </x:c>
      <x:c r="G227" t="n">
        <x:v>392</x:v>
      </x:c>
      <x:c r="H227" t="n">
        <x:v>389</x:v>
      </x:c>
      <x:c r="I227" t="n">
        <x:v>3</x:v>
      </x:c>
      <x:c r="J227" t="n">
        <x:v>1</x:v>
      </x:c>
      <x:c r="K227" t="str">
        <x:v>Yes</x:v>
      </x:c>
      <x:c r="L227" s="5" t="n">
        <x:v>0.9223529411764706</x:v>
      </x:c>
      <x:c r="M227" t="n">
        <x:v>3</x:v>
      </x:c>
      <x:c r="N227" s="6" t="n">
        <x:v>895</x:v>
      </x:c>
    </x:row>
    <x:row r="228">
      <x:c r="A228" t="str">
        <x:v>SHP-5227</x:v>
      </x:c>
      <x:c r="B228" s="4" t="n">
        <x:v>45978</x:v>
      </x:c>
      <x:c r="C228" t="str">
        <x:v>Central</x:v>
      </x:c>
      <x:c r="D228" t="str">
        <x:v>Supplier C</x:v>
      </x:c>
      <x:c r="E228" t="str">
        <x:v>Medical</x:v>
      </x:c>
      <x:c r="F228" t="n">
        <x:v>462</x:v>
      </x:c>
      <x:c r="G228" t="n">
        <x:v>460</x:v>
      </x:c>
      <x:c r="H228" t="n">
        <x:v>444</x:v>
      </x:c>
      <x:c r="I228" t="n">
        <x:v>4</x:v>
      </x:c>
      <x:c r="J228" t="n">
        <x:v>2</x:v>
      </x:c>
      <x:c r="K228" t="str">
        <x:v>Yes</x:v>
      </x:c>
      <x:c r="L228" s="5" t="n">
        <x:v>0.9956709956709957</x:v>
      </x:c>
      <x:c r="M228" t="n">
        <x:v>16</x:v>
      </x:c>
      <x:c r="N228" s="6" t="n">
        <x:v>978</x:v>
      </x:c>
    </x:row>
    <x:row r="229">
      <x:c r="A229" t="str">
        <x:v>SHP-5228</x:v>
      </x:c>
      <x:c r="B229" s="4" t="n">
        <x:v>46015</x:v>
      </x:c>
      <x:c r="C229" t="str">
        <x:v>East</x:v>
      </x:c>
      <x:c r="D229" t="str">
        <x:v>Supplier H</x:v>
      </x:c>
      <x:c r="E229" t="str">
        <x:v>Network</x:v>
      </x:c>
      <x:c r="F229" t="n">
        <x:v>499</x:v>
      </x:c>
      <x:c r="G229" t="n">
        <x:v>480</x:v>
      </x:c>
      <x:c r="H229" t="n">
        <x:v>499</x:v>
      </x:c>
      <x:c r="I229" t="n">
        <x:v>5</x:v>
      </x:c>
      <x:c r="J229" t="n">
        <x:v>8</x:v>
      </x:c>
      <x:c r="K229" t="str">
        <x:v>No</x:v>
      </x:c>
      <x:c r="L229" s="5" t="n">
        <x:v>0.9619238476953907</x:v>
      </x:c>
      <x:c r="M229" t="n">
        <x:v>19</x:v>
      </x:c>
      <x:c r="N229" s="6" t="n">
        <x:v>1061</x:v>
      </x:c>
    </x:row>
    <x:row r="230">
      <x:c r="A230" t="str">
        <x:v>SHP-5229</x:v>
      </x:c>
      <x:c r="B230" s="4" t="n">
        <x:v>45661</x:v>
      </x:c>
      <x:c r="C230" t="str">
        <x:v>West</x:v>
      </x:c>
      <x:c r="D230" t="str">
        <x:v>Supplier A</x:v>
      </x:c>
      <x:c r="E230" t="str">
        <x:v>Industrial</x:v>
      </x:c>
      <x:c r="F230" t="n">
        <x:v>116</x:v>
      </x:c>
      <x:c r="G230" t="n">
        <x:v>80</x:v>
      </x:c>
      <x:c r="H230" t="n">
        <x:v>134</x:v>
      </x:c>
      <x:c r="I230" t="n">
        <x:v>6</x:v>
      </x:c>
      <x:c r="J230" t="n">
        <x:v>5</x:v>
      </x:c>
      <x:c r="K230" t="str">
        <x:v>Yes</x:v>
      </x:c>
      <x:c r="L230" s="5" t="n">
        <x:v>0.6896551724137931</x:v>
      </x:c>
      <x:c r="M230" t="n">
        <x:v>54</x:v>
      </x:c>
      <x:c r="N230" s="6" t="n">
        <x:v>1144</x:v>
      </x:c>
    </x:row>
    <x:row r="231">
      <x:c r="A231" t="str">
        <x:v>SHP-5230</x:v>
      </x:c>
      <x:c r="B231" s="4" t="n">
        <x:v>45699</x:v>
      </x:c>
      <x:c r="C231" t="str">
        <x:v>South</x:v>
      </x:c>
      <x:c r="D231" t="str">
        <x:v>Supplier F</x:v>
      </x:c>
      <x:c r="E231" t="str">
        <x:v>Consumer</x:v>
      </x:c>
      <x:c r="F231" t="n">
        <x:v>153</x:v>
      </x:c>
      <x:c r="G231" t="n">
        <x:v>148</x:v>
      </x:c>
      <x:c r="H231" t="n">
        <x:v>189</x:v>
      </x:c>
      <x:c r="I231" t="n">
        <x:v>7</x:v>
      </x:c>
      <x:c r="J231" t="n">
        <x:v>11</x:v>
      </x:c>
      <x:c r="K231" t="str">
        <x:v>No</x:v>
      </x:c>
      <x:c r="L231" s="5" t="n">
        <x:v>0.9673202614379085</x:v>
      </x:c>
      <x:c r="M231" t="n">
        <x:v>41</x:v>
      </x:c>
      <x:c r="N231" s="6" t="n">
        <x:v>1227</x:v>
      </x:c>
    </x:row>
    <x:row r="232">
      <x:c r="A232" t="str">
        <x:v>SHP-5231</x:v>
      </x:c>
      <x:c r="B232" s="4" t="n">
        <x:v>45734</x:v>
      </x:c>
      <x:c r="C232" t="str">
        <x:v>Central</x:v>
      </x:c>
      <x:c r="D232" t="str">
        <x:v>Supplier K</x:v>
      </x:c>
      <x:c r="E232" t="str">
        <x:v>Electronics</x:v>
      </x:c>
      <x:c r="F232" t="n">
        <x:v>190</x:v>
      </x:c>
      <x:c r="G232" t="n">
        <x:v>168</x:v>
      </x:c>
      <x:c r="H232" t="n">
        <x:v>244</x:v>
      </x:c>
      <x:c r="I232" t="n">
        <x:v>3</x:v>
      </x:c>
      <x:c r="J232" t="n">
        <x:v>5</x:v>
      </x:c>
      <x:c r="K232" t="str">
        <x:v>No</x:v>
      </x:c>
      <x:c r="L232" s="5" t="n">
        <x:v>0.8842105263157894</x:v>
      </x:c>
      <x:c r="M232" t="n">
        <x:v>76</x:v>
      </x:c>
      <x:c r="N232" s="6" t="n">
        <x:v>1310</x:v>
      </x:c>
    </x:row>
    <x:row r="233">
      <x:c r="A233" t="str">
        <x:v>SHP-5232</x:v>
      </x:c>
      <x:c r="B233" s="4" t="n">
        <x:v>45772</x:v>
      </x:c>
      <x:c r="C233" t="str">
        <x:v>East</x:v>
      </x:c>
      <x:c r="D233" t="str">
        <x:v>Supplier D</x:v>
      </x:c>
      <x:c r="E233" t="str">
        <x:v>Medical</x:v>
      </x:c>
      <x:c r="F233" t="n">
        <x:v>227</x:v>
      </x:c>
      <x:c r="G233" t="n">
        <x:v>188</x:v>
      </x:c>
      <x:c r="H233" t="n">
        <x:v>173</x:v>
      </x:c>
      <x:c r="I233" t="n">
        <x:v>4</x:v>
      </x:c>
      <x:c r="J233" t="n">
        <x:v>6</x:v>
      </x:c>
      <x:c r="K233" t="str">
        <x:v>No</x:v>
      </x:c>
      <x:c r="L233" s="5" t="n">
        <x:v>0.8281938325991189</x:v>
      </x:c>
      <x:c r="M233" t="n">
        <x:v>15</x:v>
      </x:c>
      <x:c r="N233" s="6" t="n">
        <x:v>1393</x:v>
      </x:c>
    </x:row>
    <x:row r="234">
      <x:c r="A234" t="str">
        <x:v>SHP-5233</x:v>
      </x:c>
      <x:c r="B234" s="4" t="n">
        <x:v>45782</x:v>
      </x:c>
      <x:c r="C234" t="str">
        <x:v>West</x:v>
      </x:c>
      <x:c r="D234" t="str">
        <x:v>Supplier I</x:v>
      </x:c>
      <x:c r="E234" t="str">
        <x:v>Network</x:v>
      </x:c>
      <x:c r="F234" t="n">
        <x:v>264</x:v>
      </x:c>
      <x:c r="G234" t="n">
        <x:v>256</x:v>
      </x:c>
      <x:c r="H234" t="n">
        <x:v>228</x:v>
      </x:c>
      <x:c r="I234" t="n">
        <x:v>5</x:v>
      </x:c>
      <x:c r="J234" t="n">
        <x:v>5</x:v>
      </x:c>
      <x:c r="K234" t="str">
        <x:v>Yes</x:v>
      </x:c>
      <x:c r="L234" s="5" t="n">
        <x:v>0.9696969696969697</x:v>
      </x:c>
      <x:c r="M234" t="n">
        <x:v>28</x:v>
      </x:c>
      <x:c r="N234" s="6" t="n">
        <x:v>1476</x:v>
      </x:c>
    </x:row>
    <x:row r="235">
      <x:c r="A235" t="str">
        <x:v>SHP-5234</x:v>
      </x:c>
      <x:c r="B235" s="4" t="n">
        <x:v>45820</x:v>
      </x:c>
      <x:c r="C235" t="str">
        <x:v>South</x:v>
      </x:c>
      <x:c r="D235" t="str">
        <x:v>Supplier B</x:v>
      </x:c>
      <x:c r="E235" t="str">
        <x:v>Industrial</x:v>
      </x:c>
      <x:c r="F235" t="n">
        <x:v>301</x:v>
      </x:c>
      <x:c r="G235" t="n">
        <x:v>276</x:v>
      </x:c>
      <x:c r="H235" t="n">
        <x:v>283</x:v>
      </x:c>
      <x:c r="I235" t="n">
        <x:v>6</x:v>
      </x:c>
      <x:c r="J235" t="n">
        <x:v>6</x:v>
      </x:c>
      <x:c r="K235" t="str">
        <x:v>Yes</x:v>
      </x:c>
      <x:c r="L235" s="5" t="n">
        <x:v>0.9169435215946844</x:v>
      </x:c>
      <x:c r="M235" t="n">
        <x:v>7</x:v>
      </x:c>
      <x:c r="N235" s="6" t="n">
        <x:v>1559</x:v>
      </x:c>
    </x:row>
    <x:row r="236">
      <x:c r="A236" t="str">
        <x:v>SHP-5235</x:v>
      </x:c>
      <x:c r="B236" s="4" t="n">
        <x:v>45857</x:v>
      </x:c>
      <x:c r="C236" t="str">
        <x:v>Central</x:v>
      </x:c>
      <x:c r="D236" t="str">
        <x:v>Supplier G</x:v>
      </x:c>
      <x:c r="E236" t="str">
        <x:v>Consumer</x:v>
      </x:c>
      <x:c r="F236" t="n">
        <x:v>338</x:v>
      </x:c>
      <x:c r="G236" t="n">
        <x:v>296</x:v>
      </x:c>
      <x:c r="H236" t="n">
        <x:v>338</x:v>
      </x:c>
      <x:c r="I236" t="n">
        <x:v>7</x:v>
      </x:c>
      <x:c r="J236" t="n">
        <x:v>5</x:v>
      </x:c>
      <x:c r="K236" t="str">
        <x:v>Yes</x:v>
      </x:c>
      <x:c r="L236" s="5" t="n">
        <x:v>0.8757396449704142</x:v>
      </x:c>
      <x:c r="M236" t="n">
        <x:v>42</x:v>
      </x:c>
      <x:c r="N236" s="6" t="n">
        <x:v>1642</x:v>
      </x:c>
    </x:row>
    <x:row r="237">
      <x:c r="A237" t="str">
        <x:v>SHP-5236</x:v>
      </x:c>
      <x:c r="B237" s="4" t="n">
        <x:v>45895</x:v>
      </x:c>
      <x:c r="C237" t="str">
        <x:v>East</x:v>
      </x:c>
      <x:c r="D237" t="str">
        <x:v>Supplier L</x:v>
      </x:c>
      <x:c r="E237" t="str">
        <x:v>Electronics</x:v>
      </x:c>
      <x:c r="F237" t="n">
        <x:v>375</x:v>
      </x:c>
      <x:c r="G237" t="n">
        <x:v>364</x:v>
      </x:c>
      <x:c r="H237" t="n">
        <x:v>393</x:v>
      </x:c>
      <x:c r="I237" t="n">
        <x:v>3</x:v>
      </x:c>
      <x:c r="J237" t="n">
        <x:v>6</x:v>
      </x:c>
      <x:c r="K237" t="str">
        <x:v>No</x:v>
      </x:c>
      <x:c r="L237" s="5" t="n">
        <x:v>0.9706666666666667</x:v>
      </x:c>
      <x:c r="M237" t="n">
        <x:v>29</x:v>
      </x:c>
      <x:c r="N237" s="6" t="n">
        <x:v>1725</x:v>
      </x:c>
    </x:row>
    <x:row r="238">
      <x:c r="A238" t="str">
        <x:v>SHP-5237</x:v>
      </x:c>
      <x:c r="B238" s="4" t="n">
        <x:v>45906</x:v>
      </x:c>
      <x:c r="C238" t="str">
        <x:v>West</x:v>
      </x:c>
      <x:c r="D238" t="str">
        <x:v>Supplier E</x:v>
      </x:c>
      <x:c r="E238" t="str">
        <x:v>Medical</x:v>
      </x:c>
      <x:c r="F238" t="n">
        <x:v>412</x:v>
      </x:c>
      <x:c r="G238" t="n">
        <x:v>384</x:v>
      </x:c>
      <x:c r="H238" t="n">
        <x:v>448</x:v>
      </x:c>
      <x:c r="I238" t="n">
        <x:v>4</x:v>
      </x:c>
      <x:c r="J238" t="n">
        <x:v>7</x:v>
      </x:c>
      <x:c r="K238" t="str">
        <x:v>No</x:v>
      </x:c>
      <x:c r="L238" s="5" t="n">
        <x:v>0.9320388349514563</x:v>
      </x:c>
      <x:c r="M238" t="n">
        <x:v>64</x:v>
      </x:c>
      <x:c r="N238" s="6" t="n">
        <x:v>1808</x:v>
      </x:c>
    </x:row>
    <x:row r="239">
      <x:c r="A239" t="str">
        <x:v>SHP-5238</x:v>
      </x:c>
      <x:c r="B239" s="4" t="n">
        <x:v>45943</x:v>
      </x:c>
      <x:c r="C239" t="str">
        <x:v>South</x:v>
      </x:c>
      <x:c r="D239" t="str">
        <x:v>Supplier J</x:v>
      </x:c>
      <x:c r="E239" t="str">
        <x:v>Network</x:v>
      </x:c>
      <x:c r="F239" t="n">
        <x:v>449</x:v>
      </x:c>
      <x:c r="G239" t="n">
        <x:v>404</x:v>
      </x:c>
      <x:c r="H239" t="n">
        <x:v>503</x:v>
      </x:c>
      <x:c r="I239" t="n">
        <x:v>5</x:v>
      </x:c>
      <x:c r="J239" t="n">
        <x:v>6</x:v>
      </x:c>
      <x:c r="K239" t="str">
        <x:v>No</x:v>
      </x:c>
      <x:c r="L239" s="5" t="n">
        <x:v>0.8997772828507795</x:v>
      </x:c>
      <x:c r="M239" t="n">
        <x:v>99</x:v>
      </x:c>
      <x:c r="N239" s="6" t="n">
        <x:v>1891</x:v>
      </x:c>
    </x:row>
    <x:row r="240">
      <x:c r="A240" t="str">
        <x:v>SHP-5239</x:v>
      </x:c>
      <x:c r="B240" s="4" t="n">
        <x:v>45981</x:v>
      </x:c>
      <x:c r="C240" t="str">
        <x:v>Central</x:v>
      </x:c>
      <x:c r="D240" t="str">
        <x:v>Supplier C</x:v>
      </x:c>
      <x:c r="E240" t="str">
        <x:v>Industrial</x:v>
      </x:c>
      <x:c r="F240" t="n">
        <x:v>486</x:v>
      </x:c>
      <x:c r="G240" t="n">
        <x:v>472</x:v>
      </x:c>
      <x:c r="H240" t="n">
        <x:v>432</x:v>
      </x:c>
      <x:c r="I240" t="n">
        <x:v>6</x:v>
      </x:c>
      <x:c r="J240" t="n">
        <x:v>7</x:v>
      </x:c>
      <x:c r="K240" t="str">
        <x:v>No</x:v>
      </x:c>
      <x:c r="L240" s="5" t="n">
        <x:v>0.9711934156378601</x:v>
      </x:c>
      <x:c r="M240" t="n">
        <x:v>40</x:v>
      </x:c>
      <x:c r="N240" s="6" t="n">
        <x:v>1974</x:v>
      </x:c>
    </x:row>
    <x:row r="241">
      <x:c r="A241" t="str">
        <x:v>SHP-5240</x:v>
      </x:c>
      <x:c r="B241" s="4" t="n">
        <x:v>46018</x:v>
      </x:c>
      <x:c r="C241" t="str">
        <x:v>East</x:v>
      </x:c>
      <x:c r="D241" t="str">
        <x:v>Supplier H</x:v>
      </x:c>
      <x:c r="E241" t="str">
        <x:v>Consumer</x:v>
      </x:c>
      <x:c r="F241" t="n">
        <x:v>103</x:v>
      </x:c>
      <x:c r="G241" t="n">
        <x:v>72</x:v>
      </x:c>
      <x:c r="H241" t="n">
        <x:v>67</x:v>
      </x:c>
      <x:c r="I241" t="n">
        <x:v>7</x:v>
      </x:c>
      <x:c r="J241" t="n">
        <x:v>6</x:v>
      </x:c>
      <x:c r="K241" t="str">
        <x:v>Yes</x:v>
      </x:c>
      <x:c r="L241" s="5" t="n">
        <x:v>0.6990291262135923</x:v>
      </x:c>
      <x:c r="M241" t="n">
        <x:v>5</x:v>
      </x:c>
      <x:c r="N241" s="6" t="n">
        <x:v>2057</x:v>
      </x:c>
    </x:row>
  </x:sheetData>
  <x:conditionalFormatting sqref="K2:K241">
    <x:cfRule type="containsText" dxfId="0" priority="1" operator="containsText" text="No"/>
  </x:conditionalFormatting>
  <x:conditionalFormatting sqref="L2:L241">
    <x:cfRule type="colorScale" priority="2">
      <x:colorScale>
        <x:cfvo type="min"/>
        <x:cfvo type="percentile" val="50"/>
        <x:cfvo type="max"/>
        <x:color rgb="FFE15759"/>
        <x:color rgb="FFEDC948"/>
        <x:color rgb="FF59A14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9c0c60812454f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1" hidden="0" customWidth="1"/>
    <x:col min="4" max="4" width="13" hidden="0" customWidth="1"/>
    <x:col min="5" max="5" width="14" hidden="0" customWidth="1"/>
    <x:col min="6" max="6" width="17" hidden="0" customWidth="1"/>
    <x:col min="7" max="7" width="15" hidden="0" customWidth="1"/>
    <x:col min="8" max="8" width="12" hidden="0" customWidth="1"/>
    <x:col min="9" max="9" width="18" hidden="0" customWidth="1"/>
    <x:col min="10" max="10" width="14" hidden="0" customWidth="1"/>
    <x:col min="11" max="11" width="12" hidden="0" customWidth="1"/>
    <x:col min="12" max="12" width="15" hidden="0" customWidth="1"/>
    <x:col min="13" max="13" width="15" hidden="0" customWidth="1"/>
  </x:cols>
  <x:sheetData>
    <x:row r="1">
      <x:c r="A1" s="3" t="str">
        <x:v>SKU</x:v>
      </x:c>
      <x:c r="B1" s="3" t="str">
        <x:v>Category</x:v>
      </x:c>
      <x:c r="C1" s="3" t="str">
        <x:v>Region</x:v>
      </x:c>
      <x:c r="D1" s="3" t="str">
        <x:v>Supplier</x:v>
      </x:c>
      <x:c r="E1" s="3" t="str">
        <x:v>On_Hand_Units</x:v>
      </x:c>
      <x:c r="F1" s="3" t="str">
        <x:v>Avg_Daily_Demand</x:v>
      </x:c>
      <x:c r="G1" s="3" t="str">
        <x:v>Lead_Time_Days</x:v>
      </x:c>
      <x:c r="H1" s="3" t="str">
        <x:v>Unit_Cost</x:v>
      </x:c>
      <x:c r="I1" s="3" t="str">
        <x:v>Safety_Stock_Factor</x:v>
      </x:c>
      <x:c r="J1" s="3" t="str">
        <x:v>Reorder_Point</x:v>
      </x:c>
      <x:c r="K1" s="3" t="str">
        <x:v>Risk_Flag</x:v>
      </x:c>
      <x:c r="L1" s="3" t="str">
        <x:v>Inventory_Value</x:v>
      </x:c>
      <x:c r="M1" s="3" t="str">
        <x:v>At_Risk_Value</x:v>
      </x:c>
    </x:row>
    <x:row r="2">
      <x:c r="A2" t="str">
        <x:v>SKU-7001</x:v>
      </x:c>
      <x:c r="B2" t="str">
        <x:v>Electronics</x:v>
      </x:c>
      <x:c r="C2" t="str">
        <x:v>West</x:v>
      </x:c>
      <x:c r="D2" t="str">
        <x:v>Supplier A</x:v>
      </x:c>
      <x:c r="E2" t="n">
        <x:v>40</x:v>
      </x:c>
      <x:c r="F2" t="n">
        <x:v>4</x:v>
      </x:c>
      <x:c r="G2" t="n">
        <x:v>5</x:v>
      </x:c>
      <x:c r="H2" s="6" t="n">
        <x:v>18</x:v>
      </x:c>
      <x:c r="I2" s="7" t="n">
        <x:f>'Executive Dashboard'!$F$4</x:f>
        <x:v>1.1</x:v>
      </x:c>
      <x:c r="J2" s="8" t="n">
        <x:f>F2*G2*I2</x:f>
        <x:v>22</x:v>
      </x:c>
      <x:c r="K2" t="str">
        <x:f>IF(E2&lt;J2,"At Risk","Healthy")</x:f>
        <x:v>Healthy</x:v>
      </x:c>
      <x:c r="L2" s="6" t="n">
        <x:f>E2*H2</x:f>
        <x:v>720</x:v>
      </x:c>
      <x:c r="M2" s="6" t="n">
        <x:f>IF(K2="At Risk",L2,0)</x:f>
        <x:v>0</x:v>
      </x:c>
    </x:row>
    <x:row r="3">
      <x:c r="A3" t="str">
        <x:v>SKU-7002</x:v>
      </x:c>
      <x:c r="B3" t="str">
        <x:v>Industrial</x:v>
      </x:c>
      <x:c r="C3" t="str">
        <x:v>South</x:v>
      </x:c>
      <x:c r="D3" t="str">
        <x:v>Supplier H</x:v>
      </x:c>
      <x:c r="E3" t="n">
        <x:v>83</x:v>
      </x:c>
      <x:c r="F3" t="n">
        <x:v>11</x:v>
      </x:c>
      <x:c r="G3" t="n">
        <x:v>8</x:v>
      </x:c>
      <x:c r="H3" s="6" t="n">
        <x:v>47</x:v>
      </x:c>
      <x:c r="I3" s="7" t="n">
        <x:f>'Executive Dashboard'!$F$4</x:f>
        <x:v>1.1</x:v>
      </x:c>
      <x:c r="J3" s="8" t="n">
        <x:f>F3*G3*I3</x:f>
        <x:v>96.80000000000001</x:v>
      </x:c>
      <x:c r="K3" t="str">
        <x:f>IF(E3&lt;J3,"At Risk","Healthy")</x:f>
        <x:v>At Risk</x:v>
      </x:c>
      <x:c r="L3" s="6" t="n">
        <x:f>E3*H3</x:f>
        <x:v>3901</x:v>
      </x:c>
      <x:c r="M3" s="6" t="n">
        <x:f>IF(K3="At Risk",L3,0)</x:f>
        <x:v>3901</x:v>
      </x:c>
    </x:row>
    <x:row r="4">
      <x:c r="A4" t="str">
        <x:v>SKU-7003</x:v>
      </x:c>
      <x:c r="B4" t="str">
        <x:v>Medical</x:v>
      </x:c>
      <x:c r="C4" t="str">
        <x:v>Central</x:v>
      </x:c>
      <x:c r="D4" t="str">
        <x:v>Supplier C</x:v>
      </x:c>
      <x:c r="E4" t="n">
        <x:v>126</x:v>
      </x:c>
      <x:c r="F4" t="n">
        <x:v>18</x:v>
      </x:c>
      <x:c r="G4" t="n">
        <x:v>11</x:v>
      </x:c>
      <x:c r="H4" s="6" t="n">
        <x:v>76</x:v>
      </x:c>
      <x:c r="I4" s="7" t="n">
        <x:f>'Executive Dashboard'!$F$4</x:f>
        <x:v>1.1</x:v>
      </x:c>
      <x:c r="J4" s="8" t="n">
        <x:f>F4*G4*I4</x:f>
        <x:v>217.8</x:v>
      </x:c>
      <x:c r="K4" t="str">
        <x:f>IF(E4&lt;J4,"At Risk","Healthy")</x:f>
        <x:v>At Risk</x:v>
      </x:c>
      <x:c r="L4" s="6" t="n">
        <x:f>E4*H4</x:f>
        <x:v>9576</x:v>
      </x:c>
      <x:c r="M4" s="6" t="n">
        <x:f>IF(K4="At Risk",L4,0)</x:f>
        <x:v>9576</x:v>
      </x:c>
    </x:row>
    <x:row r="5">
      <x:c r="A5" t="str">
        <x:v>SKU-7004</x:v>
      </x:c>
      <x:c r="B5" t="str">
        <x:v>Consumer</x:v>
      </x:c>
      <x:c r="C5" t="str">
        <x:v>East</x:v>
      </x:c>
      <x:c r="D5" t="str">
        <x:v>Supplier J</x:v>
      </x:c>
      <x:c r="E5" t="n">
        <x:v>169</x:v>
      </x:c>
      <x:c r="F5" t="n">
        <x:v>25</x:v>
      </x:c>
      <x:c r="G5" t="n">
        <x:v>14</x:v>
      </x:c>
      <x:c r="H5" s="6" t="n">
        <x:v>105</x:v>
      </x:c>
      <x:c r="I5" s="7" t="n">
        <x:f>'Executive Dashboard'!$F$4</x:f>
        <x:v>1.1</x:v>
      </x:c>
      <x:c r="J5" s="8" t="n">
        <x:f>F5*G5*I5</x:f>
        <x:v>385.00000000000006</x:v>
      </x:c>
      <x:c r="K5" t="str">
        <x:f>IF(E5&lt;J5,"At Risk","Healthy")</x:f>
        <x:v>At Risk</x:v>
      </x:c>
      <x:c r="L5" s="6" t="n">
        <x:f>E5*H5</x:f>
        <x:v>17745</x:v>
      </x:c>
      <x:c r="M5" s="6" t="n">
        <x:f>IF(K5="At Risk",L5,0)</x:f>
        <x:v>17745</x:v>
      </x:c>
    </x:row>
    <x:row r="6">
      <x:c r="A6" t="str">
        <x:v>SKU-7005</x:v>
      </x:c>
      <x:c r="B6" t="str">
        <x:v>Network</x:v>
      </x:c>
      <x:c r="C6" t="str">
        <x:v>West</x:v>
      </x:c>
      <x:c r="D6" t="str">
        <x:v>Supplier E</x:v>
      </x:c>
      <x:c r="E6" t="n">
        <x:v>212</x:v>
      </x:c>
      <x:c r="F6" t="n">
        <x:v>32</x:v>
      </x:c>
      <x:c r="G6" t="n">
        <x:v>17</x:v>
      </x:c>
      <x:c r="H6" s="6" t="n">
        <x:v>134</x:v>
      </x:c>
      <x:c r="I6" s="7" t="n">
        <x:f>'Executive Dashboard'!$F$4</x:f>
        <x:v>1.1</x:v>
      </x:c>
      <x:c r="J6" s="8" t="n">
        <x:f>F6*G6*I6</x:f>
        <x:v>598.4000000000001</x:v>
      </x:c>
      <x:c r="K6" t="str">
        <x:f>IF(E6&lt;J6,"At Risk","Healthy")</x:f>
        <x:v>At Risk</x:v>
      </x:c>
      <x:c r="L6" s="6" t="n">
        <x:f>E6*H6</x:f>
        <x:v>28408</x:v>
      </x:c>
      <x:c r="M6" s="6" t="n">
        <x:f>IF(K6="At Risk",L6,0)</x:f>
        <x:v>28408</x:v>
      </x:c>
    </x:row>
    <x:row r="7">
      <x:c r="A7" t="str">
        <x:v>SKU-7006</x:v>
      </x:c>
      <x:c r="B7" t="str">
        <x:v>Electronics</x:v>
      </x:c>
      <x:c r="C7" t="str">
        <x:v>South</x:v>
      </x:c>
      <x:c r="D7" t="str">
        <x:v>Supplier L</x:v>
      </x:c>
      <x:c r="E7" t="n">
        <x:v>255</x:v>
      </x:c>
      <x:c r="F7" t="n">
        <x:v>39</x:v>
      </x:c>
      <x:c r="G7" t="n">
        <x:v>20</x:v>
      </x:c>
      <x:c r="H7" s="6" t="n">
        <x:v>163</x:v>
      </x:c>
      <x:c r="I7" s="7" t="n">
        <x:f>'Executive Dashboard'!$F$4</x:f>
        <x:v>1.1</x:v>
      </x:c>
      <x:c r="J7" s="8" t="n">
        <x:f>F7*G7*I7</x:f>
        <x:v>858.0000000000001</x:v>
      </x:c>
      <x:c r="K7" t="str">
        <x:f>IF(E7&lt;J7,"At Risk","Healthy")</x:f>
        <x:v>At Risk</x:v>
      </x:c>
      <x:c r="L7" s="6" t="n">
        <x:f>E7*H7</x:f>
        <x:v>41565</x:v>
      </x:c>
      <x:c r="M7" s="6" t="n">
        <x:f>IF(K7="At Risk",L7,0)</x:f>
        <x:v>41565</x:v>
      </x:c>
    </x:row>
    <x:row r="8">
      <x:c r="A8" t="str">
        <x:v>SKU-7007</x:v>
      </x:c>
      <x:c r="B8" t="str">
        <x:v>Industrial</x:v>
      </x:c>
      <x:c r="C8" t="str">
        <x:v>Central</x:v>
      </x:c>
      <x:c r="D8" t="str">
        <x:v>Supplier G</x:v>
      </x:c>
      <x:c r="E8" t="n">
        <x:v>298</x:v>
      </x:c>
      <x:c r="F8" t="n">
        <x:v>8</x:v>
      </x:c>
      <x:c r="G8" t="n">
        <x:v>23</x:v>
      </x:c>
      <x:c r="H8" s="6" t="n">
        <x:v>192</x:v>
      </x:c>
      <x:c r="I8" s="7" t="n">
        <x:f>'Executive Dashboard'!$F$4</x:f>
        <x:v>1.1</x:v>
      </x:c>
      <x:c r="J8" s="8" t="n">
        <x:f>F8*G8*I8</x:f>
        <x:v>202.4</x:v>
      </x:c>
      <x:c r="K8" t="str">
        <x:f>IF(E8&lt;J8,"At Risk","Healthy")</x:f>
        <x:v>Healthy</x:v>
      </x:c>
      <x:c r="L8" s="6" t="n">
        <x:f>E8*H8</x:f>
        <x:v>57216</x:v>
      </x:c>
      <x:c r="M8" s="6" t="n">
        <x:f>IF(K8="At Risk",L8,0)</x:f>
        <x:v>0</x:v>
      </x:c>
    </x:row>
    <x:row r="9">
      <x:c r="A9" t="str">
        <x:v>SKU-7008</x:v>
      </x:c>
      <x:c r="B9" t="str">
        <x:v>Medical</x:v>
      </x:c>
      <x:c r="C9" t="str">
        <x:v>East</x:v>
      </x:c>
      <x:c r="D9" t="str">
        <x:v>Supplier B</x:v>
      </x:c>
      <x:c r="E9" t="n">
        <x:v>341</x:v>
      </x:c>
      <x:c r="F9" t="n">
        <x:v>15</x:v>
      </x:c>
      <x:c r="G9" t="n">
        <x:v>26</x:v>
      </x:c>
      <x:c r="H9" s="6" t="n">
        <x:v>221</x:v>
      </x:c>
      <x:c r="I9" s="7" t="n">
        <x:f>'Executive Dashboard'!$F$4</x:f>
        <x:v>1.1</x:v>
      </x:c>
      <x:c r="J9" s="8" t="n">
        <x:f>F9*G9*I9</x:f>
        <x:v>429.00000000000006</x:v>
      </x:c>
      <x:c r="K9" t="str">
        <x:f>IF(E9&lt;J9,"At Risk","Healthy")</x:f>
        <x:v>At Risk</x:v>
      </x:c>
      <x:c r="L9" s="6" t="n">
        <x:f>E9*H9</x:f>
        <x:v>75361</x:v>
      </x:c>
      <x:c r="M9" s="6" t="n">
        <x:f>IF(K9="At Risk",L9,0)</x:f>
        <x:v>75361</x:v>
      </x:c>
    </x:row>
    <x:row r="10">
      <x:c r="A10" t="str">
        <x:v>SKU-7009</x:v>
      </x:c>
      <x:c r="B10" t="str">
        <x:v>Consumer</x:v>
      </x:c>
      <x:c r="C10" t="str">
        <x:v>West</x:v>
      </x:c>
      <x:c r="D10" t="str">
        <x:v>Supplier I</x:v>
      </x:c>
      <x:c r="E10" t="n">
        <x:v>384</x:v>
      </x:c>
      <x:c r="F10" t="n">
        <x:v>22</x:v>
      </x:c>
      <x:c r="G10" t="n">
        <x:v>29</x:v>
      </x:c>
      <x:c r="H10" s="6" t="n">
        <x:v>250</x:v>
      </x:c>
      <x:c r="I10" s="7" t="n">
        <x:f>'Executive Dashboard'!$F$4</x:f>
        <x:v>1.1</x:v>
      </x:c>
      <x:c r="J10" s="8" t="n">
        <x:f>F10*G10*I10</x:f>
        <x:v>701.8000000000001</x:v>
      </x:c>
      <x:c r="K10" t="str">
        <x:f>IF(E10&lt;J10,"At Risk","Healthy")</x:f>
        <x:v>At Risk</x:v>
      </x:c>
      <x:c r="L10" s="6" t="n">
        <x:f>E10*H10</x:f>
        <x:v>96000</x:v>
      </x:c>
      <x:c r="M10" s="6" t="n">
        <x:f>IF(K10="At Risk",L10,0)</x:f>
        <x:v>96000</x:v>
      </x:c>
    </x:row>
    <x:row r="11">
      <x:c r="A11" t="str">
        <x:v>SKU-7010</x:v>
      </x:c>
      <x:c r="B11" t="str">
        <x:v>Network</x:v>
      </x:c>
      <x:c r="C11" t="str">
        <x:v>South</x:v>
      </x:c>
      <x:c r="D11" t="str">
        <x:v>Supplier D</x:v>
      </x:c>
      <x:c r="E11" t="n">
        <x:v>427</x:v>
      </x:c>
      <x:c r="F11" t="n">
        <x:v>29</x:v>
      </x:c>
      <x:c r="G11" t="n">
        <x:v>7</x:v>
      </x:c>
      <x:c r="H11" s="6" t="n">
        <x:v>279</x:v>
      </x:c>
      <x:c r="I11" s="7" t="n">
        <x:f>'Executive Dashboard'!$F$4</x:f>
        <x:v>1.1</x:v>
      </x:c>
      <x:c r="J11" s="8" t="n">
        <x:f>F11*G11*I11</x:f>
        <x:v>223.3</x:v>
      </x:c>
      <x:c r="K11" t="str">
        <x:f>IF(E11&lt;J11,"At Risk","Healthy")</x:f>
        <x:v>Healthy</x:v>
      </x:c>
      <x:c r="L11" s="6" t="n">
        <x:f>E11*H11</x:f>
        <x:v>119133</x:v>
      </x:c>
      <x:c r="M11" s="6" t="n">
        <x:f>IF(K11="At Risk",L11,0)</x:f>
        <x:v>0</x:v>
      </x:c>
    </x:row>
    <x:row r="12">
      <x:c r="A12" t="str">
        <x:v>SKU-7011</x:v>
      </x:c>
      <x:c r="B12" t="str">
        <x:v>Electronics</x:v>
      </x:c>
      <x:c r="C12" t="str">
        <x:v>Central</x:v>
      </x:c>
      <x:c r="D12" t="str">
        <x:v>Supplier K</x:v>
      </x:c>
      <x:c r="E12" t="n">
        <x:v>470</x:v>
      </x:c>
      <x:c r="F12" t="n">
        <x:v>36</x:v>
      </x:c>
      <x:c r="G12" t="n">
        <x:v>10</x:v>
      </x:c>
      <x:c r="H12" s="6" t="n">
        <x:v>308</x:v>
      </x:c>
      <x:c r="I12" s="7" t="n">
        <x:f>'Executive Dashboard'!$F$4</x:f>
        <x:v>1.1</x:v>
      </x:c>
      <x:c r="J12" s="8" t="n">
        <x:f>F12*G12*I12</x:f>
        <x:v>396.00000000000006</x:v>
      </x:c>
      <x:c r="K12" t="str">
        <x:f>IF(E12&lt;J12,"At Risk","Healthy")</x:f>
        <x:v>Healthy</x:v>
      </x:c>
      <x:c r="L12" s="6" t="n">
        <x:f>E12*H12</x:f>
        <x:v>144760</x:v>
      </x:c>
      <x:c r="M12" s="6" t="n">
        <x:f>IF(K12="At Risk",L12,0)</x:f>
        <x:v>0</x:v>
      </x:c>
    </x:row>
    <x:row r="13">
      <x:c r="A13" t="str">
        <x:v>SKU-7012</x:v>
      </x:c>
      <x:c r="B13" t="str">
        <x:v>Industrial</x:v>
      </x:c>
      <x:c r="C13" t="str">
        <x:v>East</x:v>
      </x:c>
      <x:c r="D13" t="str">
        <x:v>Supplier F</x:v>
      </x:c>
      <x:c r="E13" t="n">
        <x:v>513</x:v>
      </x:c>
      <x:c r="F13" t="n">
        <x:v>5</x:v>
      </x:c>
      <x:c r="G13" t="n">
        <x:v>13</x:v>
      </x:c>
      <x:c r="H13" s="6" t="n">
        <x:v>337</x:v>
      </x:c>
      <x:c r="I13" s="7" t="n">
        <x:f>'Executive Dashboard'!$F$4</x:f>
        <x:v>1.1</x:v>
      </x:c>
      <x:c r="J13" s="8" t="n">
        <x:f>F13*G13*I13</x:f>
        <x:v>71.5</x:v>
      </x:c>
      <x:c r="K13" t="str">
        <x:f>IF(E13&lt;J13,"At Risk","Healthy")</x:f>
        <x:v>Healthy</x:v>
      </x:c>
      <x:c r="L13" s="6" t="n">
        <x:f>E13*H13</x:f>
        <x:v>172881</x:v>
      </x:c>
      <x:c r="M13" s="6" t="n">
        <x:f>IF(K13="At Risk",L13,0)</x:f>
        <x:v>0</x:v>
      </x:c>
    </x:row>
    <x:row r="14">
      <x:c r="A14" t="str">
        <x:v>SKU-7013</x:v>
      </x:c>
      <x:c r="B14" t="str">
        <x:v>Medical</x:v>
      </x:c>
      <x:c r="C14" t="str">
        <x:v>West</x:v>
      </x:c>
      <x:c r="D14" t="str">
        <x:v>Supplier A</x:v>
      </x:c>
      <x:c r="E14" t="n">
        <x:v>556</x:v>
      </x:c>
      <x:c r="F14" t="n">
        <x:v>12</x:v>
      </x:c>
      <x:c r="G14" t="n">
        <x:v>16</x:v>
      </x:c>
      <x:c r="H14" s="6" t="n">
        <x:v>366</x:v>
      </x:c>
      <x:c r="I14" s="7" t="n">
        <x:f>'Executive Dashboard'!$F$4</x:f>
        <x:v>1.1</x:v>
      </x:c>
      <x:c r="J14" s="8" t="n">
        <x:f>F14*G14*I14</x:f>
        <x:v>211.20000000000002</x:v>
      </x:c>
      <x:c r="K14" t="str">
        <x:f>IF(E14&lt;J14,"At Risk","Healthy")</x:f>
        <x:v>Healthy</x:v>
      </x:c>
      <x:c r="L14" s="6" t="n">
        <x:f>E14*H14</x:f>
        <x:v>203496</x:v>
      </x:c>
      <x:c r="M14" s="6" t="n">
        <x:f>IF(K14="At Risk",L14,0)</x:f>
        <x:v>0</x:v>
      </x:c>
    </x:row>
    <x:row r="15">
      <x:c r="A15" t="str">
        <x:v>SKU-7014</x:v>
      </x:c>
      <x:c r="B15" t="str">
        <x:v>Consumer</x:v>
      </x:c>
      <x:c r="C15" t="str">
        <x:v>South</x:v>
      </x:c>
      <x:c r="D15" t="str">
        <x:v>Supplier H</x:v>
      </x:c>
      <x:c r="E15" t="n">
        <x:v>599</x:v>
      </x:c>
      <x:c r="F15" t="n">
        <x:v>19</x:v>
      </x:c>
      <x:c r="G15" t="n">
        <x:v>19</x:v>
      </x:c>
      <x:c r="H15" s="6" t="n">
        <x:v>395</x:v>
      </x:c>
      <x:c r="I15" s="7" t="n">
        <x:f>'Executive Dashboard'!$F$4</x:f>
        <x:v>1.1</x:v>
      </x:c>
      <x:c r="J15" s="8" t="n">
        <x:f>F15*G15*I15</x:f>
        <x:v>397.1</x:v>
      </x:c>
      <x:c r="K15" t="str">
        <x:f>IF(E15&lt;J15,"At Risk","Healthy")</x:f>
        <x:v>Healthy</x:v>
      </x:c>
      <x:c r="L15" s="6" t="n">
        <x:f>E15*H15</x:f>
        <x:v>236605</x:v>
      </x:c>
      <x:c r="M15" s="6" t="n">
        <x:f>IF(K15="At Risk",L15,0)</x:f>
        <x:v>0</x:v>
      </x:c>
    </x:row>
    <x:row r="16">
      <x:c r="A16" t="str">
        <x:v>SKU-7015</x:v>
      </x:c>
      <x:c r="B16" t="str">
        <x:v>Network</x:v>
      </x:c>
      <x:c r="C16" t="str">
        <x:v>Central</x:v>
      </x:c>
      <x:c r="D16" t="str">
        <x:v>Supplier C</x:v>
      </x:c>
      <x:c r="E16" t="n">
        <x:v>642</x:v>
      </x:c>
      <x:c r="F16" t="n">
        <x:v>26</x:v>
      </x:c>
      <x:c r="G16" t="n">
        <x:v>22</x:v>
      </x:c>
      <x:c r="H16" s="6" t="n">
        <x:v>424</x:v>
      </x:c>
      <x:c r="I16" s="7" t="n">
        <x:f>'Executive Dashboard'!$F$4</x:f>
        <x:v>1.1</x:v>
      </x:c>
      <x:c r="J16" s="8" t="n">
        <x:f>F16*G16*I16</x:f>
        <x:v>629.2</x:v>
      </x:c>
      <x:c r="K16" t="str">
        <x:f>IF(E16&lt;J16,"At Risk","Healthy")</x:f>
        <x:v>Healthy</x:v>
      </x:c>
      <x:c r="L16" s="6" t="n">
        <x:f>E16*H16</x:f>
        <x:v>272208</x:v>
      </x:c>
      <x:c r="M16" s="6" t="n">
        <x:f>IF(K16="At Risk",L16,0)</x:f>
        <x:v>0</x:v>
      </x:c>
    </x:row>
    <x:row r="17">
      <x:c r="A17" t="str">
        <x:v>SKU-7016</x:v>
      </x:c>
      <x:c r="B17" t="str">
        <x:v>Electronics</x:v>
      </x:c>
      <x:c r="C17" t="str">
        <x:v>East</x:v>
      </x:c>
      <x:c r="D17" t="str">
        <x:v>Supplier J</x:v>
      </x:c>
      <x:c r="E17" t="n">
        <x:v>685</x:v>
      </x:c>
      <x:c r="F17" t="n">
        <x:v>33</x:v>
      </x:c>
      <x:c r="G17" t="n">
        <x:v>25</x:v>
      </x:c>
      <x:c r="H17" s="6" t="n">
        <x:v>453</x:v>
      </x:c>
      <x:c r="I17" s="7" t="n">
        <x:f>'Executive Dashboard'!$F$4</x:f>
        <x:v>1.1</x:v>
      </x:c>
      <x:c r="J17" s="8" t="n">
        <x:f>F17*G17*I17</x:f>
        <x:v>907.5000000000001</x:v>
      </x:c>
      <x:c r="K17" t="str">
        <x:f>IF(E17&lt;J17,"At Risk","Healthy")</x:f>
        <x:v>At Risk</x:v>
      </x:c>
      <x:c r="L17" s="6" t="n">
        <x:f>E17*H17</x:f>
        <x:v>310305</x:v>
      </x:c>
      <x:c r="M17" s="6" t="n">
        <x:f>IF(K17="At Risk",L17,0)</x:f>
        <x:v>310305</x:v>
      </x:c>
    </x:row>
    <x:row r="18">
      <x:c r="A18" t="str">
        <x:v>SKU-7017</x:v>
      </x:c>
      <x:c r="B18" t="str">
        <x:v>Industrial</x:v>
      </x:c>
      <x:c r="C18" t="str">
        <x:v>West</x:v>
      </x:c>
      <x:c r="D18" t="str">
        <x:v>Supplier E</x:v>
      </x:c>
      <x:c r="E18" t="n">
        <x:v>728</x:v>
      </x:c>
      <x:c r="F18" t="n">
        <x:v>40</x:v>
      </x:c>
      <x:c r="G18" t="n">
        <x:v>28</x:v>
      </x:c>
      <x:c r="H18" s="6" t="n">
        <x:v>22</x:v>
      </x:c>
      <x:c r="I18" s="7" t="n">
        <x:f>'Executive Dashboard'!$F$4</x:f>
        <x:v>1.1</x:v>
      </x:c>
      <x:c r="J18" s="8" t="n">
        <x:f>F18*G18*I18</x:f>
        <x:v>1232</x:v>
      </x:c>
      <x:c r="K18" t="str">
        <x:f>IF(E18&lt;J18,"At Risk","Healthy")</x:f>
        <x:v>At Risk</x:v>
      </x:c>
      <x:c r="L18" s="6" t="n">
        <x:f>E18*H18</x:f>
        <x:v>16016</x:v>
      </x:c>
      <x:c r="M18" s="6" t="n">
        <x:f>IF(K18="At Risk",L18,0)</x:f>
        <x:v>16016</x:v>
      </x:c>
    </x:row>
    <x:row r="19">
      <x:c r="A19" t="str">
        <x:v>SKU-7018</x:v>
      </x:c>
      <x:c r="B19" t="str">
        <x:v>Medical</x:v>
      </x:c>
      <x:c r="C19" t="str">
        <x:v>South</x:v>
      </x:c>
      <x:c r="D19" t="str">
        <x:v>Supplier L</x:v>
      </x:c>
      <x:c r="E19" t="n">
        <x:v>41</x:v>
      </x:c>
      <x:c r="F19" t="n">
        <x:v>9</x:v>
      </x:c>
      <x:c r="G19" t="n">
        <x:v>6</x:v>
      </x:c>
      <x:c r="H19" s="6" t="n">
        <x:v>51</x:v>
      </x:c>
      <x:c r="I19" s="7" t="n">
        <x:f>'Executive Dashboard'!$F$4</x:f>
        <x:v>1.1</x:v>
      </x:c>
      <x:c r="J19" s="8" t="n">
        <x:f>F19*G19*I19</x:f>
        <x:v>59.400000000000006</x:v>
      </x:c>
      <x:c r="K19" t="str">
        <x:f>IF(E19&lt;J19,"At Risk","Healthy")</x:f>
        <x:v>At Risk</x:v>
      </x:c>
      <x:c r="L19" s="6" t="n">
        <x:f>E19*H19</x:f>
        <x:v>2091</x:v>
      </x:c>
      <x:c r="M19" s="6" t="n">
        <x:f>IF(K19="At Risk",L19,0)</x:f>
        <x:v>2091</x:v>
      </x:c>
    </x:row>
    <x:row r="20">
      <x:c r="A20" t="str">
        <x:v>SKU-7019</x:v>
      </x:c>
      <x:c r="B20" t="str">
        <x:v>Consumer</x:v>
      </x:c>
      <x:c r="C20" t="str">
        <x:v>Central</x:v>
      </x:c>
      <x:c r="D20" t="str">
        <x:v>Supplier G</x:v>
      </x:c>
      <x:c r="E20" t="n">
        <x:v>84</x:v>
      </x:c>
      <x:c r="F20" t="n">
        <x:v>16</x:v>
      </x:c>
      <x:c r="G20" t="n">
        <x:v>9</x:v>
      </x:c>
      <x:c r="H20" s="6" t="n">
        <x:v>80</x:v>
      </x:c>
      <x:c r="I20" s="7" t="n">
        <x:f>'Executive Dashboard'!$F$4</x:f>
        <x:v>1.1</x:v>
      </x:c>
      <x:c r="J20" s="8" t="n">
        <x:f>F20*G20*I20</x:f>
        <x:v>158.4</x:v>
      </x:c>
      <x:c r="K20" t="str">
        <x:f>IF(E20&lt;J20,"At Risk","Healthy")</x:f>
        <x:v>At Risk</x:v>
      </x:c>
      <x:c r="L20" s="6" t="n">
        <x:f>E20*H20</x:f>
        <x:v>6720</x:v>
      </x:c>
      <x:c r="M20" s="6" t="n">
        <x:f>IF(K20="At Risk",L20,0)</x:f>
        <x:v>6720</x:v>
      </x:c>
    </x:row>
    <x:row r="21">
      <x:c r="A21" t="str">
        <x:v>SKU-7020</x:v>
      </x:c>
      <x:c r="B21" t="str">
        <x:v>Network</x:v>
      </x:c>
      <x:c r="C21" t="str">
        <x:v>East</x:v>
      </x:c>
      <x:c r="D21" t="str">
        <x:v>Supplier B</x:v>
      </x:c>
      <x:c r="E21" t="n">
        <x:v>127</x:v>
      </x:c>
      <x:c r="F21" t="n">
        <x:v>23</x:v>
      </x:c>
      <x:c r="G21" t="n">
        <x:v>12</x:v>
      </x:c>
      <x:c r="H21" s="6" t="n">
        <x:v>109</x:v>
      </x:c>
      <x:c r="I21" s="7" t="n">
        <x:f>'Executive Dashboard'!$F$4</x:f>
        <x:v>1.1</x:v>
      </x:c>
      <x:c r="J21" s="8" t="n">
        <x:f>F21*G21*I21</x:f>
        <x:v>303.6</x:v>
      </x:c>
      <x:c r="K21" t="str">
        <x:f>IF(E21&lt;J21,"At Risk","Healthy")</x:f>
        <x:v>At Risk</x:v>
      </x:c>
      <x:c r="L21" s="6" t="n">
        <x:f>E21*H21</x:f>
        <x:v>13843</x:v>
      </x:c>
      <x:c r="M21" s="6" t="n">
        <x:f>IF(K21="At Risk",L21,0)</x:f>
        <x:v>13843</x:v>
      </x:c>
    </x:row>
    <x:row r="22">
      <x:c r="A22" t="str">
        <x:v>SKU-7021</x:v>
      </x:c>
      <x:c r="B22" t="str">
        <x:v>Electronics</x:v>
      </x:c>
      <x:c r="C22" t="str">
        <x:v>West</x:v>
      </x:c>
      <x:c r="D22" t="str">
        <x:v>Supplier I</x:v>
      </x:c>
      <x:c r="E22" t="n">
        <x:v>170</x:v>
      </x:c>
      <x:c r="F22" t="n">
        <x:v>30</x:v>
      </x:c>
      <x:c r="G22" t="n">
        <x:v>15</x:v>
      </x:c>
      <x:c r="H22" s="6" t="n">
        <x:v>138</x:v>
      </x:c>
      <x:c r="I22" s="7" t="n">
        <x:f>'Executive Dashboard'!$F$4</x:f>
        <x:v>1.1</x:v>
      </x:c>
      <x:c r="J22" s="8" t="n">
        <x:f>F22*G22*I22</x:f>
        <x:v>495.00000000000006</x:v>
      </x:c>
      <x:c r="K22" t="str">
        <x:f>IF(E22&lt;J22,"At Risk","Healthy")</x:f>
        <x:v>At Risk</x:v>
      </x:c>
      <x:c r="L22" s="6" t="n">
        <x:f>E22*H22</x:f>
        <x:v>23460</x:v>
      </x:c>
      <x:c r="M22" s="6" t="n">
        <x:f>IF(K22="At Risk",L22,0)</x:f>
        <x:v>23460</x:v>
      </x:c>
    </x:row>
    <x:row r="23">
      <x:c r="A23" t="str">
        <x:v>SKU-7022</x:v>
      </x:c>
      <x:c r="B23" t="str">
        <x:v>Industrial</x:v>
      </x:c>
      <x:c r="C23" t="str">
        <x:v>South</x:v>
      </x:c>
      <x:c r="D23" t="str">
        <x:v>Supplier D</x:v>
      </x:c>
      <x:c r="E23" t="n">
        <x:v>213</x:v>
      </x:c>
      <x:c r="F23" t="n">
        <x:v>37</x:v>
      </x:c>
      <x:c r="G23" t="n">
        <x:v>18</x:v>
      </x:c>
      <x:c r="H23" s="6" t="n">
        <x:v>167</x:v>
      </x:c>
      <x:c r="I23" s="7" t="n">
        <x:f>'Executive Dashboard'!$F$4</x:f>
        <x:v>1.1</x:v>
      </x:c>
      <x:c r="J23" s="8" t="n">
        <x:f>F23*G23*I23</x:f>
        <x:v>732.6</x:v>
      </x:c>
      <x:c r="K23" t="str">
        <x:f>IF(E23&lt;J23,"At Risk","Healthy")</x:f>
        <x:v>At Risk</x:v>
      </x:c>
      <x:c r="L23" s="6" t="n">
        <x:f>E23*H23</x:f>
        <x:v>35571</x:v>
      </x:c>
      <x:c r="M23" s="6" t="n">
        <x:f>IF(K23="At Risk",L23,0)</x:f>
        <x:v>35571</x:v>
      </x:c>
    </x:row>
    <x:row r="24">
      <x:c r="A24" t="str">
        <x:v>SKU-7023</x:v>
      </x:c>
      <x:c r="B24" t="str">
        <x:v>Medical</x:v>
      </x:c>
      <x:c r="C24" t="str">
        <x:v>Central</x:v>
      </x:c>
      <x:c r="D24" t="str">
        <x:v>Supplier K</x:v>
      </x:c>
      <x:c r="E24" t="n">
        <x:v>256</x:v>
      </x:c>
      <x:c r="F24" t="n">
        <x:v>6</x:v>
      </x:c>
      <x:c r="G24" t="n">
        <x:v>21</x:v>
      </x:c>
      <x:c r="H24" s="6" t="n">
        <x:v>196</x:v>
      </x:c>
      <x:c r="I24" s="7" t="n">
        <x:f>'Executive Dashboard'!$F$4</x:f>
        <x:v>1.1</x:v>
      </x:c>
      <x:c r="J24" s="8" t="n">
        <x:f>F24*G24*I24</x:f>
        <x:v>138.60000000000002</x:v>
      </x:c>
      <x:c r="K24" t="str">
        <x:f>IF(E24&lt;J24,"At Risk","Healthy")</x:f>
        <x:v>Healthy</x:v>
      </x:c>
      <x:c r="L24" s="6" t="n">
        <x:f>E24*H24</x:f>
        <x:v>50176</x:v>
      </x:c>
      <x:c r="M24" s="6" t="n">
        <x:f>IF(K24="At Risk",L24,0)</x:f>
        <x:v>0</x:v>
      </x:c>
    </x:row>
    <x:row r="25">
      <x:c r="A25" t="str">
        <x:v>SKU-7024</x:v>
      </x:c>
      <x:c r="B25" t="str">
        <x:v>Consumer</x:v>
      </x:c>
      <x:c r="C25" t="str">
        <x:v>East</x:v>
      </x:c>
      <x:c r="D25" t="str">
        <x:v>Supplier F</x:v>
      </x:c>
      <x:c r="E25" t="n">
        <x:v>299</x:v>
      </x:c>
      <x:c r="F25" t="n">
        <x:v>13</x:v>
      </x:c>
      <x:c r="G25" t="n">
        <x:v>24</x:v>
      </x:c>
      <x:c r="H25" s="6" t="n">
        <x:v>225</x:v>
      </x:c>
      <x:c r="I25" s="7" t="n">
        <x:f>'Executive Dashboard'!$F$4</x:f>
        <x:v>1.1</x:v>
      </x:c>
      <x:c r="J25" s="8" t="n">
        <x:f>F25*G25*I25</x:f>
        <x:v>343.20000000000005</x:v>
      </x:c>
      <x:c r="K25" t="str">
        <x:f>IF(E25&lt;J25,"At Risk","Healthy")</x:f>
        <x:v>At Risk</x:v>
      </x:c>
      <x:c r="L25" s="6" t="n">
        <x:f>E25*H25</x:f>
        <x:v>67275</x:v>
      </x:c>
      <x:c r="M25" s="6" t="n">
        <x:f>IF(K25="At Risk",L25,0)</x:f>
        <x:v>67275</x:v>
      </x:c>
    </x:row>
    <x:row r="26">
      <x:c r="A26" t="str">
        <x:v>SKU-7025</x:v>
      </x:c>
      <x:c r="B26" t="str">
        <x:v>Network</x:v>
      </x:c>
      <x:c r="C26" t="str">
        <x:v>West</x:v>
      </x:c>
      <x:c r="D26" t="str">
        <x:v>Supplier A</x:v>
      </x:c>
      <x:c r="E26" t="n">
        <x:v>342</x:v>
      </x:c>
      <x:c r="F26" t="n">
        <x:v>20</x:v>
      </x:c>
      <x:c r="G26" t="n">
        <x:v>27</x:v>
      </x:c>
      <x:c r="H26" s="6" t="n">
        <x:v>254</x:v>
      </x:c>
      <x:c r="I26" s="7" t="n">
        <x:f>'Executive Dashboard'!$F$4</x:f>
        <x:v>1.1</x:v>
      </x:c>
      <x:c r="J26" s="8" t="n">
        <x:f>F26*G26*I26</x:f>
        <x:v>594</x:v>
      </x:c>
      <x:c r="K26" t="str">
        <x:f>IF(E26&lt;J26,"At Risk","Healthy")</x:f>
        <x:v>At Risk</x:v>
      </x:c>
      <x:c r="L26" s="6" t="n">
        <x:f>E26*H26</x:f>
        <x:v>86868</x:v>
      </x:c>
      <x:c r="M26" s="6" t="n">
        <x:f>IF(K26="At Risk",L26,0)</x:f>
        <x:v>86868</x:v>
      </x:c>
    </x:row>
    <x:row r="27">
      <x:c r="A27" t="str">
        <x:v>SKU-7026</x:v>
      </x:c>
      <x:c r="B27" t="str">
        <x:v>Electronics</x:v>
      </x:c>
      <x:c r="C27" t="str">
        <x:v>South</x:v>
      </x:c>
      <x:c r="D27" t="str">
        <x:v>Supplier H</x:v>
      </x:c>
      <x:c r="E27" t="n">
        <x:v>385</x:v>
      </x:c>
      <x:c r="F27" t="n">
        <x:v>27</x:v>
      </x:c>
      <x:c r="G27" t="n">
        <x:v>5</x:v>
      </x:c>
      <x:c r="H27" s="6" t="n">
        <x:v>283</x:v>
      </x:c>
      <x:c r="I27" s="7" t="n">
        <x:f>'Executive Dashboard'!$F$4</x:f>
        <x:v>1.1</x:v>
      </x:c>
      <x:c r="J27" s="8" t="n">
        <x:f>F27*G27*I27</x:f>
        <x:v>148.5</x:v>
      </x:c>
      <x:c r="K27" t="str">
        <x:f>IF(E27&lt;J27,"At Risk","Healthy")</x:f>
        <x:v>Healthy</x:v>
      </x:c>
      <x:c r="L27" s="6" t="n">
        <x:f>E27*H27</x:f>
        <x:v>108955</x:v>
      </x:c>
      <x:c r="M27" s="6" t="n">
        <x:f>IF(K27="At Risk",L27,0)</x:f>
        <x:v>0</x:v>
      </x:c>
    </x:row>
    <x:row r="28">
      <x:c r="A28" t="str">
        <x:v>SKU-7027</x:v>
      </x:c>
      <x:c r="B28" t="str">
        <x:v>Industrial</x:v>
      </x:c>
      <x:c r="C28" t="str">
        <x:v>Central</x:v>
      </x:c>
      <x:c r="D28" t="str">
        <x:v>Supplier C</x:v>
      </x:c>
      <x:c r="E28" t="n">
        <x:v>428</x:v>
      </x:c>
      <x:c r="F28" t="n">
        <x:v>34</x:v>
      </x:c>
      <x:c r="G28" t="n">
        <x:v>8</x:v>
      </x:c>
      <x:c r="H28" s="6" t="n">
        <x:v>312</x:v>
      </x:c>
      <x:c r="I28" s="7" t="n">
        <x:f>'Executive Dashboard'!$F$4</x:f>
        <x:v>1.1</x:v>
      </x:c>
      <x:c r="J28" s="8" t="n">
        <x:f>F28*G28*I28</x:f>
        <x:v>299.20000000000005</x:v>
      </x:c>
      <x:c r="K28" t="str">
        <x:f>IF(E28&lt;J28,"At Risk","Healthy")</x:f>
        <x:v>Healthy</x:v>
      </x:c>
      <x:c r="L28" s="6" t="n">
        <x:f>E28*H28</x:f>
        <x:v>133536</x:v>
      </x:c>
      <x:c r="M28" s="6" t="n">
        <x:f>IF(K28="At Risk",L28,0)</x:f>
        <x:v>0</x:v>
      </x:c>
    </x:row>
    <x:row r="29">
      <x:c r="A29" t="str">
        <x:v>SKU-7028</x:v>
      </x:c>
      <x:c r="B29" t="str">
        <x:v>Medical</x:v>
      </x:c>
      <x:c r="C29" t="str">
        <x:v>East</x:v>
      </x:c>
      <x:c r="D29" t="str">
        <x:v>Supplier J</x:v>
      </x:c>
      <x:c r="E29" t="n">
        <x:v>471</x:v>
      </x:c>
      <x:c r="F29" t="n">
        <x:v>41</x:v>
      </x:c>
      <x:c r="G29" t="n">
        <x:v>11</x:v>
      </x:c>
      <x:c r="H29" s="6" t="n">
        <x:v>341</x:v>
      </x:c>
      <x:c r="I29" s="7" t="n">
        <x:f>'Executive Dashboard'!$F$4</x:f>
        <x:v>1.1</x:v>
      </x:c>
      <x:c r="J29" s="8" t="n">
        <x:f>F29*G29*I29</x:f>
        <x:v>496.1</x:v>
      </x:c>
      <x:c r="K29" t="str">
        <x:f>IF(E29&lt;J29,"At Risk","Healthy")</x:f>
        <x:v>At Risk</x:v>
      </x:c>
      <x:c r="L29" s="6" t="n">
        <x:f>E29*H29</x:f>
        <x:v>160611</x:v>
      </x:c>
      <x:c r="M29" s="6" t="n">
        <x:f>IF(K29="At Risk",L29,0)</x:f>
        <x:v>160611</x:v>
      </x:c>
    </x:row>
    <x:row r="30">
      <x:c r="A30" t="str">
        <x:v>SKU-7029</x:v>
      </x:c>
      <x:c r="B30" t="str">
        <x:v>Consumer</x:v>
      </x:c>
      <x:c r="C30" t="str">
        <x:v>West</x:v>
      </x:c>
      <x:c r="D30" t="str">
        <x:v>Supplier E</x:v>
      </x:c>
      <x:c r="E30" t="n">
        <x:v>514</x:v>
      </x:c>
      <x:c r="F30" t="n">
        <x:v>10</x:v>
      </x:c>
      <x:c r="G30" t="n">
        <x:v>14</x:v>
      </x:c>
      <x:c r="H30" s="6" t="n">
        <x:v>370</x:v>
      </x:c>
      <x:c r="I30" s="7" t="n">
        <x:f>'Executive Dashboard'!$F$4</x:f>
        <x:v>1.1</x:v>
      </x:c>
      <x:c r="J30" s="8" t="n">
        <x:f>F30*G30*I30</x:f>
        <x:v>154</x:v>
      </x:c>
      <x:c r="K30" t="str">
        <x:f>IF(E30&lt;J30,"At Risk","Healthy")</x:f>
        <x:v>Healthy</x:v>
      </x:c>
      <x:c r="L30" s="6" t="n">
        <x:f>E30*H30</x:f>
        <x:v>190180</x:v>
      </x:c>
      <x:c r="M30" s="6" t="n">
        <x:f>IF(K30="At Risk",L30,0)</x:f>
        <x:v>0</x:v>
      </x:c>
    </x:row>
    <x:row r="31">
      <x:c r="A31" t="str">
        <x:v>SKU-7030</x:v>
      </x:c>
      <x:c r="B31" t="str">
        <x:v>Network</x:v>
      </x:c>
      <x:c r="C31" t="str">
        <x:v>South</x:v>
      </x:c>
      <x:c r="D31" t="str">
        <x:v>Supplier L</x:v>
      </x:c>
      <x:c r="E31" t="n">
        <x:v>557</x:v>
      </x:c>
      <x:c r="F31" t="n">
        <x:v>17</x:v>
      </x:c>
      <x:c r="G31" t="n">
        <x:v>17</x:v>
      </x:c>
      <x:c r="H31" s="6" t="n">
        <x:v>399</x:v>
      </x:c>
      <x:c r="I31" s="7" t="n">
        <x:f>'Executive Dashboard'!$F$4</x:f>
        <x:v>1.1</x:v>
      </x:c>
      <x:c r="J31" s="8" t="n">
        <x:f>F31*G31*I31</x:f>
        <x:v>317.90000000000003</x:v>
      </x:c>
      <x:c r="K31" t="str">
        <x:f>IF(E31&lt;J31,"At Risk","Healthy")</x:f>
        <x:v>Healthy</x:v>
      </x:c>
      <x:c r="L31" s="6" t="n">
        <x:f>E31*H31</x:f>
        <x:v>222243</x:v>
      </x:c>
      <x:c r="M31" s="6" t="n">
        <x:f>IF(K31="At Risk",L31,0)</x:f>
        <x:v>0</x:v>
      </x:c>
    </x:row>
    <x:row r="32">
      <x:c r="A32" t="str">
        <x:v>SKU-7031</x:v>
      </x:c>
      <x:c r="B32" t="str">
        <x:v>Electronics</x:v>
      </x:c>
      <x:c r="C32" t="str">
        <x:v>Central</x:v>
      </x:c>
      <x:c r="D32" t="str">
        <x:v>Supplier G</x:v>
      </x:c>
      <x:c r="E32" t="n">
        <x:v>600</x:v>
      </x:c>
      <x:c r="F32" t="n">
        <x:v>24</x:v>
      </x:c>
      <x:c r="G32" t="n">
        <x:v>20</x:v>
      </x:c>
      <x:c r="H32" s="6" t="n">
        <x:v>428</x:v>
      </x:c>
      <x:c r="I32" s="7" t="n">
        <x:f>'Executive Dashboard'!$F$4</x:f>
        <x:v>1.1</x:v>
      </x:c>
      <x:c r="J32" s="8" t="n">
        <x:f>F32*G32*I32</x:f>
        <x:v>528</x:v>
      </x:c>
      <x:c r="K32" t="str">
        <x:f>IF(E32&lt;J32,"At Risk","Healthy")</x:f>
        <x:v>Healthy</x:v>
      </x:c>
      <x:c r="L32" s="6" t="n">
        <x:f>E32*H32</x:f>
        <x:v>256800</x:v>
      </x:c>
      <x:c r="M32" s="6" t="n">
        <x:f>IF(K32="At Risk",L32,0)</x:f>
        <x:v>0</x:v>
      </x:c>
    </x:row>
    <x:row r="33">
      <x:c r="A33" t="str">
        <x:v>SKU-7032</x:v>
      </x:c>
      <x:c r="B33" t="str">
        <x:v>Industrial</x:v>
      </x:c>
      <x:c r="C33" t="str">
        <x:v>East</x:v>
      </x:c>
      <x:c r="D33" t="str">
        <x:v>Supplier B</x:v>
      </x:c>
      <x:c r="E33" t="n">
        <x:v>643</x:v>
      </x:c>
      <x:c r="F33" t="n">
        <x:v>31</x:v>
      </x:c>
      <x:c r="G33" t="n">
        <x:v>23</x:v>
      </x:c>
      <x:c r="H33" s="6" t="n">
        <x:v>457</x:v>
      </x:c>
      <x:c r="I33" s="7" t="n">
        <x:f>'Executive Dashboard'!$F$4</x:f>
        <x:v>1.1</x:v>
      </x:c>
      <x:c r="J33" s="8" t="n">
        <x:f>F33*G33*I33</x:f>
        <x:v>784.3000000000001</x:v>
      </x:c>
      <x:c r="K33" t="str">
        <x:f>IF(E33&lt;J33,"At Risk","Healthy")</x:f>
        <x:v>At Risk</x:v>
      </x:c>
      <x:c r="L33" s="6" t="n">
        <x:f>E33*H33</x:f>
        <x:v>293851</x:v>
      </x:c>
      <x:c r="M33" s="6" t="n">
        <x:f>IF(K33="At Risk",L33,0)</x:f>
        <x:v>293851</x:v>
      </x:c>
    </x:row>
    <x:row r="34">
      <x:c r="A34" t="str">
        <x:v>SKU-7033</x:v>
      </x:c>
      <x:c r="B34" t="str">
        <x:v>Medical</x:v>
      </x:c>
      <x:c r="C34" t="str">
        <x:v>West</x:v>
      </x:c>
      <x:c r="D34" t="str">
        <x:v>Supplier I</x:v>
      </x:c>
      <x:c r="E34" t="n">
        <x:v>686</x:v>
      </x:c>
      <x:c r="F34" t="n">
        <x:v>38</x:v>
      </x:c>
      <x:c r="G34" t="n">
        <x:v>26</x:v>
      </x:c>
      <x:c r="H34" s="6" t="n">
        <x:v>26</x:v>
      </x:c>
      <x:c r="I34" s="7" t="n">
        <x:f>'Executive Dashboard'!$F$4</x:f>
        <x:v>1.1</x:v>
      </x:c>
      <x:c r="J34" s="8" t="n">
        <x:f>F34*G34*I34</x:f>
        <x:v>1086.8000000000002</x:v>
      </x:c>
      <x:c r="K34" t="str">
        <x:f>IF(E34&lt;J34,"At Risk","Healthy")</x:f>
        <x:v>At Risk</x:v>
      </x:c>
      <x:c r="L34" s="6" t="n">
        <x:f>E34*H34</x:f>
        <x:v>17836</x:v>
      </x:c>
      <x:c r="M34" s="6" t="n">
        <x:f>IF(K34="At Risk",L34,0)</x:f>
        <x:v>17836</x:v>
      </x:c>
    </x:row>
    <x:row r="35">
      <x:c r="A35" t="str">
        <x:v>SKU-7034</x:v>
      </x:c>
      <x:c r="B35" t="str">
        <x:v>Consumer</x:v>
      </x:c>
      <x:c r="C35" t="str">
        <x:v>South</x:v>
      </x:c>
      <x:c r="D35" t="str">
        <x:v>Supplier D</x:v>
      </x:c>
      <x:c r="E35" t="n">
        <x:v>729</x:v>
      </x:c>
      <x:c r="F35" t="n">
        <x:v>7</x:v>
      </x:c>
      <x:c r="G35" t="n">
        <x:v>29</x:v>
      </x:c>
      <x:c r="H35" s="6" t="n">
        <x:v>55</x:v>
      </x:c>
      <x:c r="I35" s="7" t="n">
        <x:f>'Executive Dashboard'!$F$4</x:f>
        <x:v>1.1</x:v>
      </x:c>
      <x:c r="J35" s="8" t="n">
        <x:f>F35*G35*I35</x:f>
        <x:v>223.3</x:v>
      </x:c>
      <x:c r="K35" t="str">
        <x:f>IF(E35&lt;J35,"At Risk","Healthy")</x:f>
        <x:v>Healthy</x:v>
      </x:c>
      <x:c r="L35" s="6" t="n">
        <x:f>E35*H35</x:f>
        <x:v>40095</x:v>
      </x:c>
      <x:c r="M35" s="6" t="n">
        <x:f>IF(K35="At Risk",L35,0)</x:f>
        <x:v>0</x:v>
      </x:c>
    </x:row>
    <x:row r="36">
      <x:c r="A36" t="str">
        <x:v>SKU-7035</x:v>
      </x:c>
      <x:c r="B36" t="str">
        <x:v>Network</x:v>
      </x:c>
      <x:c r="C36" t="str">
        <x:v>Central</x:v>
      </x:c>
      <x:c r="D36" t="str">
        <x:v>Supplier K</x:v>
      </x:c>
      <x:c r="E36" t="n">
        <x:v>42</x:v>
      </x:c>
      <x:c r="F36" t="n">
        <x:v>14</x:v>
      </x:c>
      <x:c r="G36" t="n">
        <x:v>7</x:v>
      </x:c>
      <x:c r="H36" s="6" t="n">
        <x:v>84</x:v>
      </x:c>
      <x:c r="I36" s="7" t="n">
        <x:f>'Executive Dashboard'!$F$4</x:f>
        <x:v>1.1</x:v>
      </x:c>
      <x:c r="J36" s="8" t="n">
        <x:f>F36*G36*I36</x:f>
        <x:v>107.80000000000001</x:v>
      </x:c>
      <x:c r="K36" t="str">
        <x:f>IF(E36&lt;J36,"At Risk","Healthy")</x:f>
        <x:v>At Risk</x:v>
      </x:c>
      <x:c r="L36" s="6" t="n">
        <x:f>E36*H36</x:f>
        <x:v>3528</x:v>
      </x:c>
      <x:c r="M36" s="6" t="n">
        <x:f>IF(K36="At Risk",L36,0)</x:f>
        <x:v>3528</x:v>
      </x:c>
    </x:row>
    <x:row r="37">
      <x:c r="A37" t="str">
        <x:v>SKU-7036</x:v>
      </x:c>
      <x:c r="B37" t="str">
        <x:v>Electronics</x:v>
      </x:c>
      <x:c r="C37" t="str">
        <x:v>East</x:v>
      </x:c>
      <x:c r="D37" t="str">
        <x:v>Supplier F</x:v>
      </x:c>
      <x:c r="E37" t="n">
        <x:v>85</x:v>
      </x:c>
      <x:c r="F37" t="n">
        <x:v>21</x:v>
      </x:c>
      <x:c r="G37" t="n">
        <x:v>10</x:v>
      </x:c>
      <x:c r="H37" s="6" t="n">
        <x:v>113</x:v>
      </x:c>
      <x:c r="I37" s="7" t="n">
        <x:f>'Executive Dashboard'!$F$4</x:f>
        <x:v>1.1</x:v>
      </x:c>
      <x:c r="J37" s="8" t="n">
        <x:f>F37*G37*I37</x:f>
        <x:v>231.00000000000003</x:v>
      </x:c>
      <x:c r="K37" t="str">
        <x:f>IF(E37&lt;J37,"At Risk","Healthy")</x:f>
        <x:v>At Risk</x:v>
      </x:c>
      <x:c r="L37" s="6" t="n">
        <x:f>E37*H37</x:f>
        <x:v>9605</x:v>
      </x:c>
      <x:c r="M37" s="6" t="n">
        <x:f>IF(K37="At Risk",L37,0)</x:f>
        <x:v>9605</x:v>
      </x:c>
    </x:row>
    <x:row r="38">
      <x:c r="A38" t="str">
        <x:v>SKU-7037</x:v>
      </x:c>
      <x:c r="B38" t="str">
        <x:v>Industrial</x:v>
      </x:c>
      <x:c r="C38" t="str">
        <x:v>West</x:v>
      </x:c>
      <x:c r="D38" t="str">
        <x:v>Supplier A</x:v>
      </x:c>
      <x:c r="E38" t="n">
        <x:v>128</x:v>
      </x:c>
      <x:c r="F38" t="n">
        <x:v>28</x:v>
      </x:c>
      <x:c r="G38" t="n">
        <x:v>13</x:v>
      </x:c>
      <x:c r="H38" s="6" t="n">
        <x:v>142</x:v>
      </x:c>
      <x:c r="I38" s="7" t="n">
        <x:f>'Executive Dashboard'!$F$4</x:f>
        <x:v>1.1</x:v>
      </x:c>
      <x:c r="J38" s="8" t="n">
        <x:f>F38*G38*I38</x:f>
        <x:v>400.40000000000003</x:v>
      </x:c>
      <x:c r="K38" t="str">
        <x:f>IF(E38&lt;J38,"At Risk","Healthy")</x:f>
        <x:v>At Risk</x:v>
      </x:c>
      <x:c r="L38" s="6" t="n">
        <x:f>E38*H38</x:f>
        <x:v>18176</x:v>
      </x:c>
      <x:c r="M38" s="6" t="n">
        <x:f>IF(K38="At Risk",L38,0)</x:f>
        <x:v>18176</x:v>
      </x:c>
    </x:row>
    <x:row r="39">
      <x:c r="A39" t="str">
        <x:v>SKU-7038</x:v>
      </x:c>
      <x:c r="B39" t="str">
        <x:v>Medical</x:v>
      </x:c>
      <x:c r="C39" t="str">
        <x:v>South</x:v>
      </x:c>
      <x:c r="D39" t="str">
        <x:v>Supplier H</x:v>
      </x:c>
      <x:c r="E39" t="n">
        <x:v>171</x:v>
      </x:c>
      <x:c r="F39" t="n">
        <x:v>35</x:v>
      </x:c>
      <x:c r="G39" t="n">
        <x:v>16</x:v>
      </x:c>
      <x:c r="H39" s="6" t="n">
        <x:v>171</x:v>
      </x:c>
      <x:c r="I39" s="7" t="n">
        <x:f>'Executive Dashboard'!$F$4</x:f>
        <x:v>1.1</x:v>
      </x:c>
      <x:c r="J39" s="8" t="n">
        <x:f>F39*G39*I39</x:f>
        <x:v>616</x:v>
      </x:c>
      <x:c r="K39" t="str">
        <x:f>IF(E39&lt;J39,"At Risk","Healthy")</x:f>
        <x:v>At Risk</x:v>
      </x:c>
      <x:c r="L39" s="6" t="n">
        <x:f>E39*H39</x:f>
        <x:v>29241</x:v>
      </x:c>
      <x:c r="M39" s="6" t="n">
        <x:f>IF(K39="At Risk",L39,0)</x:f>
        <x:v>29241</x:v>
      </x:c>
    </x:row>
    <x:row r="40">
      <x:c r="A40" t="str">
        <x:v>SKU-7039</x:v>
      </x:c>
      <x:c r="B40" t="str">
        <x:v>Consumer</x:v>
      </x:c>
      <x:c r="C40" t="str">
        <x:v>Central</x:v>
      </x:c>
      <x:c r="D40" t="str">
        <x:v>Supplier C</x:v>
      </x:c>
      <x:c r="E40" t="n">
        <x:v>214</x:v>
      </x:c>
      <x:c r="F40" t="n">
        <x:v>4</x:v>
      </x:c>
      <x:c r="G40" t="n">
        <x:v>19</x:v>
      </x:c>
      <x:c r="H40" s="6" t="n">
        <x:v>200</x:v>
      </x:c>
      <x:c r="I40" s="7" t="n">
        <x:f>'Executive Dashboard'!$F$4</x:f>
        <x:v>1.1</x:v>
      </x:c>
      <x:c r="J40" s="8" t="n">
        <x:f>F40*G40*I40</x:f>
        <x:v>83.60000000000001</x:v>
      </x:c>
      <x:c r="K40" t="str">
        <x:f>IF(E40&lt;J40,"At Risk","Healthy")</x:f>
        <x:v>Healthy</x:v>
      </x:c>
      <x:c r="L40" s="6" t="n">
        <x:f>E40*H40</x:f>
        <x:v>42800</x:v>
      </x:c>
      <x:c r="M40" s="6" t="n">
        <x:f>IF(K40="At Risk",L40,0)</x:f>
        <x:v>0</x:v>
      </x:c>
    </x:row>
    <x:row r="41">
      <x:c r="A41" t="str">
        <x:v>SKU-7040</x:v>
      </x:c>
      <x:c r="B41" t="str">
        <x:v>Network</x:v>
      </x:c>
      <x:c r="C41" t="str">
        <x:v>East</x:v>
      </x:c>
      <x:c r="D41" t="str">
        <x:v>Supplier J</x:v>
      </x:c>
      <x:c r="E41" t="n">
        <x:v>257</x:v>
      </x:c>
      <x:c r="F41" t="n">
        <x:v>11</x:v>
      </x:c>
      <x:c r="G41" t="n">
        <x:v>22</x:v>
      </x:c>
      <x:c r="H41" s="6" t="n">
        <x:v>229</x:v>
      </x:c>
      <x:c r="I41" s="7" t="n">
        <x:f>'Executive Dashboard'!$F$4</x:f>
        <x:v>1.1</x:v>
      </x:c>
      <x:c r="J41" s="8" t="n">
        <x:f>F41*G41*I41</x:f>
        <x:v>266.20000000000005</x:v>
      </x:c>
      <x:c r="K41" t="str">
        <x:f>IF(E41&lt;J41,"At Risk","Healthy")</x:f>
        <x:v>At Risk</x:v>
      </x:c>
      <x:c r="L41" s="6" t="n">
        <x:f>E41*H41</x:f>
        <x:v>58853</x:v>
      </x:c>
      <x:c r="M41" s="6" t="n">
        <x:f>IF(K41="At Risk",L41,0)</x:f>
        <x:v>58853</x:v>
      </x:c>
    </x:row>
    <x:row r="42">
      <x:c r="A42" t="str">
        <x:v>SKU-7041</x:v>
      </x:c>
      <x:c r="B42" t="str">
        <x:v>Electronics</x:v>
      </x:c>
      <x:c r="C42" t="str">
        <x:v>West</x:v>
      </x:c>
      <x:c r="D42" t="str">
        <x:v>Supplier E</x:v>
      </x:c>
      <x:c r="E42" t="n">
        <x:v>300</x:v>
      </x:c>
      <x:c r="F42" t="n">
        <x:v>18</x:v>
      </x:c>
      <x:c r="G42" t="n">
        <x:v>25</x:v>
      </x:c>
      <x:c r="H42" s="6" t="n">
        <x:v>258</x:v>
      </x:c>
      <x:c r="I42" s="7" t="n">
        <x:f>'Executive Dashboard'!$F$4</x:f>
        <x:v>1.1</x:v>
      </x:c>
      <x:c r="J42" s="8" t="n">
        <x:f>F42*G42*I42</x:f>
        <x:v>495.00000000000006</x:v>
      </x:c>
      <x:c r="K42" t="str">
        <x:f>IF(E42&lt;J42,"At Risk","Healthy")</x:f>
        <x:v>At Risk</x:v>
      </x:c>
      <x:c r="L42" s="6" t="n">
        <x:f>E42*H42</x:f>
        <x:v>77400</x:v>
      </x:c>
      <x:c r="M42" s="6" t="n">
        <x:f>IF(K42="At Risk",L42,0)</x:f>
        <x:v>77400</x:v>
      </x:c>
    </x:row>
    <x:row r="43">
      <x:c r="A43" t="str">
        <x:v>SKU-7042</x:v>
      </x:c>
      <x:c r="B43" t="str">
        <x:v>Industrial</x:v>
      </x:c>
      <x:c r="C43" t="str">
        <x:v>South</x:v>
      </x:c>
      <x:c r="D43" t="str">
        <x:v>Supplier L</x:v>
      </x:c>
      <x:c r="E43" t="n">
        <x:v>343</x:v>
      </x:c>
      <x:c r="F43" t="n">
        <x:v>25</x:v>
      </x:c>
      <x:c r="G43" t="n">
        <x:v>28</x:v>
      </x:c>
      <x:c r="H43" s="6" t="n">
        <x:v>287</x:v>
      </x:c>
      <x:c r="I43" s="7" t="n">
        <x:f>'Executive Dashboard'!$F$4</x:f>
        <x:v>1.1</x:v>
      </x:c>
      <x:c r="J43" s="8" t="n">
        <x:f>F43*G43*I43</x:f>
        <x:v>770.0000000000001</x:v>
      </x:c>
      <x:c r="K43" t="str">
        <x:f>IF(E43&lt;J43,"At Risk","Healthy")</x:f>
        <x:v>At Risk</x:v>
      </x:c>
      <x:c r="L43" s="6" t="n">
        <x:f>E43*H43</x:f>
        <x:v>98441</x:v>
      </x:c>
      <x:c r="M43" s="6" t="n">
        <x:f>IF(K43="At Risk",L43,0)</x:f>
        <x:v>98441</x:v>
      </x:c>
    </x:row>
    <x:row r="44">
      <x:c r="A44" t="str">
        <x:v>SKU-7043</x:v>
      </x:c>
      <x:c r="B44" t="str">
        <x:v>Medical</x:v>
      </x:c>
      <x:c r="C44" t="str">
        <x:v>Central</x:v>
      </x:c>
      <x:c r="D44" t="str">
        <x:v>Supplier G</x:v>
      </x:c>
      <x:c r="E44" t="n">
        <x:v>386</x:v>
      </x:c>
      <x:c r="F44" t="n">
        <x:v>32</x:v>
      </x:c>
      <x:c r="G44" t="n">
        <x:v>6</x:v>
      </x:c>
      <x:c r="H44" s="6" t="n">
        <x:v>316</x:v>
      </x:c>
      <x:c r="I44" s="7" t="n">
        <x:f>'Executive Dashboard'!$F$4</x:f>
        <x:v>1.1</x:v>
      </x:c>
      <x:c r="J44" s="8" t="n">
        <x:f>F44*G44*I44</x:f>
        <x:v>211.20000000000002</x:v>
      </x:c>
      <x:c r="K44" t="str">
        <x:f>IF(E44&lt;J44,"At Risk","Healthy")</x:f>
        <x:v>Healthy</x:v>
      </x:c>
      <x:c r="L44" s="6" t="n">
        <x:f>E44*H44</x:f>
        <x:v>121976</x:v>
      </x:c>
      <x:c r="M44" s="6" t="n">
        <x:f>IF(K44="At Risk",L44,0)</x:f>
        <x:v>0</x:v>
      </x:c>
    </x:row>
    <x:row r="45">
      <x:c r="A45" t="str">
        <x:v>SKU-7044</x:v>
      </x:c>
      <x:c r="B45" t="str">
        <x:v>Consumer</x:v>
      </x:c>
      <x:c r="C45" t="str">
        <x:v>East</x:v>
      </x:c>
      <x:c r="D45" t="str">
        <x:v>Supplier B</x:v>
      </x:c>
      <x:c r="E45" t="n">
        <x:v>429</x:v>
      </x:c>
      <x:c r="F45" t="n">
        <x:v>39</x:v>
      </x:c>
      <x:c r="G45" t="n">
        <x:v>9</x:v>
      </x:c>
      <x:c r="H45" s="6" t="n">
        <x:v>345</x:v>
      </x:c>
      <x:c r="I45" s="7" t="n">
        <x:f>'Executive Dashboard'!$F$4</x:f>
        <x:v>1.1</x:v>
      </x:c>
      <x:c r="J45" s="8" t="n">
        <x:f>F45*G45*I45</x:f>
        <x:v>386.1</x:v>
      </x:c>
      <x:c r="K45" t="str">
        <x:f>IF(E45&lt;J45,"At Risk","Healthy")</x:f>
        <x:v>Healthy</x:v>
      </x:c>
      <x:c r="L45" s="6" t="n">
        <x:f>E45*H45</x:f>
        <x:v>148005</x:v>
      </x:c>
      <x:c r="M45" s="6" t="n">
        <x:f>IF(K45="At Risk",L45,0)</x:f>
        <x:v>0</x:v>
      </x:c>
    </x:row>
    <x:row r="46">
      <x:c r="A46" t="str">
        <x:v>SKU-7045</x:v>
      </x:c>
      <x:c r="B46" t="str">
        <x:v>Network</x:v>
      </x:c>
      <x:c r="C46" t="str">
        <x:v>West</x:v>
      </x:c>
      <x:c r="D46" t="str">
        <x:v>Supplier I</x:v>
      </x:c>
      <x:c r="E46" t="n">
        <x:v>472</x:v>
      </x:c>
      <x:c r="F46" t="n">
        <x:v>8</x:v>
      </x:c>
      <x:c r="G46" t="n">
        <x:v>12</x:v>
      </x:c>
      <x:c r="H46" s="6" t="n">
        <x:v>374</x:v>
      </x:c>
      <x:c r="I46" s="7" t="n">
        <x:f>'Executive Dashboard'!$F$4</x:f>
        <x:v>1.1</x:v>
      </x:c>
      <x:c r="J46" s="8" t="n">
        <x:f>F46*G46*I46</x:f>
        <x:v>105.60000000000001</x:v>
      </x:c>
      <x:c r="K46" t="str">
        <x:f>IF(E46&lt;J46,"At Risk","Healthy")</x:f>
        <x:v>Healthy</x:v>
      </x:c>
      <x:c r="L46" s="6" t="n">
        <x:f>E46*H46</x:f>
        <x:v>176528</x:v>
      </x:c>
      <x:c r="M46" s="6" t="n">
        <x:f>IF(K46="At Risk",L46,0)</x:f>
        <x:v>0</x:v>
      </x:c>
    </x:row>
    <x:row r="47">
      <x:c r="A47" t="str">
        <x:v>SKU-7046</x:v>
      </x:c>
      <x:c r="B47" t="str">
        <x:v>Electronics</x:v>
      </x:c>
      <x:c r="C47" t="str">
        <x:v>South</x:v>
      </x:c>
      <x:c r="D47" t="str">
        <x:v>Supplier D</x:v>
      </x:c>
      <x:c r="E47" t="n">
        <x:v>515</x:v>
      </x:c>
      <x:c r="F47" t="n">
        <x:v>15</x:v>
      </x:c>
      <x:c r="G47" t="n">
        <x:v>15</x:v>
      </x:c>
      <x:c r="H47" s="6" t="n">
        <x:v>403</x:v>
      </x:c>
      <x:c r="I47" s="7" t="n">
        <x:f>'Executive Dashboard'!$F$4</x:f>
        <x:v>1.1</x:v>
      </x:c>
      <x:c r="J47" s="8" t="n">
        <x:f>F47*G47*I47</x:f>
        <x:v>247.50000000000003</x:v>
      </x:c>
      <x:c r="K47" t="str">
        <x:f>IF(E47&lt;J47,"At Risk","Healthy")</x:f>
        <x:v>Healthy</x:v>
      </x:c>
      <x:c r="L47" s="6" t="n">
        <x:f>E47*H47</x:f>
        <x:v>207545</x:v>
      </x:c>
      <x:c r="M47" s="6" t="n">
        <x:f>IF(K47="At Risk",L47,0)</x:f>
        <x:v>0</x:v>
      </x:c>
    </x:row>
    <x:row r="48">
      <x:c r="A48" t="str">
        <x:v>SKU-7047</x:v>
      </x:c>
      <x:c r="B48" t="str">
        <x:v>Industrial</x:v>
      </x:c>
      <x:c r="C48" t="str">
        <x:v>Central</x:v>
      </x:c>
      <x:c r="D48" t="str">
        <x:v>Supplier K</x:v>
      </x:c>
      <x:c r="E48" t="n">
        <x:v>558</x:v>
      </x:c>
      <x:c r="F48" t="n">
        <x:v>22</x:v>
      </x:c>
      <x:c r="G48" t="n">
        <x:v>18</x:v>
      </x:c>
      <x:c r="H48" s="6" t="n">
        <x:v>432</x:v>
      </x:c>
      <x:c r="I48" s="7" t="n">
        <x:f>'Executive Dashboard'!$F$4</x:f>
        <x:v>1.1</x:v>
      </x:c>
      <x:c r="J48" s="8" t="n">
        <x:f>F48*G48*I48</x:f>
        <x:v>435.6</x:v>
      </x:c>
      <x:c r="K48" t="str">
        <x:f>IF(E48&lt;J48,"At Risk","Healthy")</x:f>
        <x:v>Healthy</x:v>
      </x:c>
      <x:c r="L48" s="6" t="n">
        <x:f>E48*H48</x:f>
        <x:v>241056</x:v>
      </x:c>
      <x:c r="M48" s="6" t="n">
        <x:f>IF(K48="At Risk",L48,0)</x:f>
        <x:v>0</x:v>
      </x:c>
    </x:row>
    <x:row r="49">
      <x:c r="A49" t="str">
        <x:v>SKU-7048</x:v>
      </x:c>
      <x:c r="B49" t="str">
        <x:v>Medical</x:v>
      </x:c>
      <x:c r="C49" t="str">
        <x:v>East</x:v>
      </x:c>
      <x:c r="D49" t="str">
        <x:v>Supplier F</x:v>
      </x:c>
      <x:c r="E49" t="n">
        <x:v>601</x:v>
      </x:c>
      <x:c r="F49" t="n">
        <x:v>29</x:v>
      </x:c>
      <x:c r="G49" t="n">
        <x:v>21</x:v>
      </x:c>
      <x:c r="H49" s="6" t="n">
        <x:v>461</x:v>
      </x:c>
      <x:c r="I49" s="7" t="n">
        <x:f>'Executive Dashboard'!$F$4</x:f>
        <x:v>1.1</x:v>
      </x:c>
      <x:c r="J49" s="8" t="n">
        <x:f>F49*G49*I49</x:f>
        <x:v>669.9000000000001</x:v>
      </x:c>
      <x:c r="K49" t="str">
        <x:f>IF(E49&lt;J49,"At Risk","Healthy")</x:f>
        <x:v>At Risk</x:v>
      </x:c>
      <x:c r="L49" s="6" t="n">
        <x:f>E49*H49</x:f>
        <x:v>277061</x:v>
      </x:c>
      <x:c r="M49" s="6" t="n">
        <x:f>IF(K49="At Risk",L49,0)</x:f>
        <x:v>277061</x:v>
      </x:c>
    </x:row>
    <x:row r="50">
      <x:c r="A50" t="str">
        <x:v>SKU-7049</x:v>
      </x:c>
      <x:c r="B50" t="str">
        <x:v>Consumer</x:v>
      </x:c>
      <x:c r="C50" t="str">
        <x:v>West</x:v>
      </x:c>
      <x:c r="D50" t="str">
        <x:v>Supplier A</x:v>
      </x:c>
      <x:c r="E50" t="n">
        <x:v>644</x:v>
      </x:c>
      <x:c r="F50" t="n">
        <x:v>36</x:v>
      </x:c>
      <x:c r="G50" t="n">
        <x:v>24</x:v>
      </x:c>
      <x:c r="H50" s="6" t="n">
        <x:v>30</x:v>
      </x:c>
      <x:c r="I50" s="7" t="n">
        <x:f>'Executive Dashboard'!$F$4</x:f>
        <x:v>1.1</x:v>
      </x:c>
      <x:c r="J50" s="8" t="n">
        <x:f>F50*G50*I50</x:f>
        <x:v>950.4000000000001</x:v>
      </x:c>
      <x:c r="K50" t="str">
        <x:f>IF(E50&lt;J50,"At Risk","Healthy")</x:f>
        <x:v>At Risk</x:v>
      </x:c>
      <x:c r="L50" s="6" t="n">
        <x:f>E50*H50</x:f>
        <x:v>19320</x:v>
      </x:c>
      <x:c r="M50" s="6" t="n">
        <x:f>IF(K50="At Risk",L50,0)</x:f>
        <x:v>19320</x:v>
      </x:c>
    </x:row>
    <x:row r="51">
      <x:c r="A51" t="str">
        <x:v>SKU-7050</x:v>
      </x:c>
      <x:c r="B51" t="str">
        <x:v>Network</x:v>
      </x:c>
      <x:c r="C51" t="str">
        <x:v>South</x:v>
      </x:c>
      <x:c r="D51" t="str">
        <x:v>Supplier H</x:v>
      </x:c>
      <x:c r="E51" t="n">
        <x:v>687</x:v>
      </x:c>
      <x:c r="F51" t="n">
        <x:v>5</x:v>
      </x:c>
      <x:c r="G51" t="n">
        <x:v>27</x:v>
      </x:c>
      <x:c r="H51" s="6" t="n">
        <x:v>59</x:v>
      </x:c>
      <x:c r="I51" s="7" t="n">
        <x:f>'Executive Dashboard'!$F$4</x:f>
        <x:v>1.1</x:v>
      </x:c>
      <x:c r="J51" s="8" t="n">
        <x:f>F51*G51*I51</x:f>
        <x:v>148.5</x:v>
      </x:c>
      <x:c r="K51" t="str">
        <x:f>IF(E51&lt;J51,"At Risk","Healthy")</x:f>
        <x:v>Healthy</x:v>
      </x:c>
      <x:c r="L51" s="6" t="n">
        <x:f>E51*H51</x:f>
        <x:v>40533</x:v>
      </x:c>
      <x:c r="M51" s="6" t="n">
        <x:f>IF(K51="At Risk",L51,0)</x:f>
        <x:v>0</x:v>
      </x:c>
    </x:row>
    <x:row r="52">
      <x:c r="A52" t="str">
        <x:v>SKU-7051</x:v>
      </x:c>
      <x:c r="B52" t="str">
        <x:v>Electronics</x:v>
      </x:c>
      <x:c r="C52" t="str">
        <x:v>Central</x:v>
      </x:c>
      <x:c r="D52" t="str">
        <x:v>Supplier C</x:v>
      </x:c>
      <x:c r="E52" t="n">
        <x:v>730</x:v>
      </x:c>
      <x:c r="F52" t="n">
        <x:v>12</x:v>
      </x:c>
      <x:c r="G52" t="n">
        <x:v>5</x:v>
      </x:c>
      <x:c r="H52" s="6" t="n">
        <x:v>88</x:v>
      </x:c>
      <x:c r="I52" s="7" t="n">
        <x:f>'Executive Dashboard'!$F$4</x:f>
        <x:v>1.1</x:v>
      </x:c>
      <x:c r="J52" s="8" t="n">
        <x:f>F52*G52*I52</x:f>
        <x:v>66</x:v>
      </x:c>
      <x:c r="K52" t="str">
        <x:f>IF(E52&lt;J52,"At Risk","Healthy")</x:f>
        <x:v>Healthy</x:v>
      </x:c>
      <x:c r="L52" s="6" t="n">
        <x:f>E52*H52</x:f>
        <x:v>64240</x:v>
      </x:c>
      <x:c r="M52" s="6" t="n">
        <x:f>IF(K52="At Risk",L52,0)</x:f>
        <x:v>0</x:v>
      </x:c>
    </x:row>
    <x:row r="53">
      <x:c r="A53" t="str">
        <x:v>SKU-7052</x:v>
      </x:c>
      <x:c r="B53" t="str">
        <x:v>Industrial</x:v>
      </x:c>
      <x:c r="C53" t="str">
        <x:v>East</x:v>
      </x:c>
      <x:c r="D53" t="str">
        <x:v>Supplier J</x:v>
      </x:c>
      <x:c r="E53" t="n">
        <x:v>43</x:v>
      </x:c>
      <x:c r="F53" t="n">
        <x:v>19</x:v>
      </x:c>
      <x:c r="G53" t="n">
        <x:v>8</x:v>
      </x:c>
      <x:c r="H53" s="6" t="n">
        <x:v>117</x:v>
      </x:c>
      <x:c r="I53" s="7" t="n">
        <x:f>'Executive Dashboard'!$F$4</x:f>
        <x:v>1.1</x:v>
      </x:c>
      <x:c r="J53" s="8" t="n">
        <x:f>F53*G53*I53</x:f>
        <x:v>167.20000000000002</x:v>
      </x:c>
      <x:c r="K53" t="str">
        <x:f>IF(E53&lt;J53,"At Risk","Healthy")</x:f>
        <x:v>At Risk</x:v>
      </x:c>
      <x:c r="L53" s="6" t="n">
        <x:f>E53*H53</x:f>
        <x:v>5031</x:v>
      </x:c>
      <x:c r="M53" s="6" t="n">
        <x:f>IF(K53="At Risk",L53,0)</x:f>
        <x:v>5031</x:v>
      </x:c>
    </x:row>
    <x:row r="54">
      <x:c r="A54" t="str">
        <x:v>SKU-7053</x:v>
      </x:c>
      <x:c r="B54" t="str">
        <x:v>Medical</x:v>
      </x:c>
      <x:c r="C54" t="str">
        <x:v>West</x:v>
      </x:c>
      <x:c r="D54" t="str">
        <x:v>Supplier E</x:v>
      </x:c>
      <x:c r="E54" t="n">
        <x:v>86</x:v>
      </x:c>
      <x:c r="F54" t="n">
        <x:v>26</x:v>
      </x:c>
      <x:c r="G54" t="n">
        <x:v>11</x:v>
      </x:c>
      <x:c r="H54" s="6" t="n">
        <x:v>146</x:v>
      </x:c>
      <x:c r="I54" s="7" t="n">
        <x:f>'Executive Dashboard'!$F$4</x:f>
        <x:v>1.1</x:v>
      </x:c>
      <x:c r="J54" s="8" t="n">
        <x:f>F54*G54*I54</x:f>
        <x:v>314.6</x:v>
      </x:c>
      <x:c r="K54" t="str">
        <x:f>IF(E54&lt;J54,"At Risk","Healthy")</x:f>
        <x:v>At Risk</x:v>
      </x:c>
      <x:c r="L54" s="6" t="n">
        <x:f>E54*H54</x:f>
        <x:v>12556</x:v>
      </x:c>
      <x:c r="M54" s="6" t="n">
        <x:f>IF(K54="At Risk",L54,0)</x:f>
        <x:v>12556</x:v>
      </x:c>
    </x:row>
    <x:row r="55">
      <x:c r="A55" t="str">
        <x:v>SKU-7054</x:v>
      </x:c>
      <x:c r="B55" t="str">
        <x:v>Consumer</x:v>
      </x:c>
      <x:c r="C55" t="str">
        <x:v>South</x:v>
      </x:c>
      <x:c r="D55" t="str">
        <x:v>Supplier L</x:v>
      </x:c>
      <x:c r="E55" t="n">
        <x:v>129</x:v>
      </x:c>
      <x:c r="F55" t="n">
        <x:v>33</x:v>
      </x:c>
      <x:c r="G55" t="n">
        <x:v>14</x:v>
      </x:c>
      <x:c r="H55" s="6" t="n">
        <x:v>175</x:v>
      </x:c>
      <x:c r="I55" s="7" t="n">
        <x:f>'Executive Dashboard'!$F$4</x:f>
        <x:v>1.1</x:v>
      </x:c>
      <x:c r="J55" s="8" t="n">
        <x:f>F55*G55*I55</x:f>
        <x:v>508.20000000000005</x:v>
      </x:c>
      <x:c r="K55" t="str">
        <x:f>IF(E55&lt;J55,"At Risk","Healthy")</x:f>
        <x:v>At Risk</x:v>
      </x:c>
      <x:c r="L55" s="6" t="n">
        <x:f>E55*H55</x:f>
        <x:v>22575</x:v>
      </x:c>
      <x:c r="M55" s="6" t="n">
        <x:f>IF(K55="At Risk",L55,0)</x:f>
        <x:v>22575</x:v>
      </x:c>
    </x:row>
    <x:row r="56">
      <x:c r="A56" t="str">
        <x:v>SKU-7055</x:v>
      </x:c>
      <x:c r="B56" t="str">
        <x:v>Network</x:v>
      </x:c>
      <x:c r="C56" t="str">
        <x:v>Central</x:v>
      </x:c>
      <x:c r="D56" t="str">
        <x:v>Supplier G</x:v>
      </x:c>
      <x:c r="E56" t="n">
        <x:v>172</x:v>
      </x:c>
      <x:c r="F56" t="n">
        <x:v>40</x:v>
      </x:c>
      <x:c r="G56" t="n">
        <x:v>17</x:v>
      </x:c>
      <x:c r="H56" s="6" t="n">
        <x:v>204</x:v>
      </x:c>
      <x:c r="I56" s="7" t="n">
        <x:f>'Executive Dashboard'!$F$4</x:f>
        <x:v>1.1</x:v>
      </x:c>
      <x:c r="J56" s="8" t="n">
        <x:f>F56*G56*I56</x:f>
        <x:v>748.0000000000001</x:v>
      </x:c>
      <x:c r="K56" t="str">
        <x:f>IF(E56&lt;J56,"At Risk","Healthy")</x:f>
        <x:v>At Risk</x:v>
      </x:c>
      <x:c r="L56" s="6" t="n">
        <x:f>E56*H56</x:f>
        <x:v>35088</x:v>
      </x:c>
      <x:c r="M56" s="6" t="n">
        <x:f>IF(K56="At Risk",L56,0)</x:f>
        <x:v>35088</x:v>
      </x:c>
    </x:row>
    <x:row r="57">
      <x:c r="A57" t="str">
        <x:v>SKU-7056</x:v>
      </x:c>
      <x:c r="B57" t="str">
        <x:v>Electronics</x:v>
      </x:c>
      <x:c r="C57" t="str">
        <x:v>East</x:v>
      </x:c>
      <x:c r="D57" t="str">
        <x:v>Supplier B</x:v>
      </x:c>
      <x:c r="E57" t="n">
        <x:v>215</x:v>
      </x:c>
      <x:c r="F57" t="n">
        <x:v>9</x:v>
      </x:c>
      <x:c r="G57" t="n">
        <x:v>20</x:v>
      </x:c>
      <x:c r="H57" s="6" t="n">
        <x:v>233</x:v>
      </x:c>
      <x:c r="I57" s="7" t="n">
        <x:f>'Executive Dashboard'!$F$4</x:f>
        <x:v>1.1</x:v>
      </x:c>
      <x:c r="J57" s="8" t="n">
        <x:f>F57*G57*I57</x:f>
        <x:v>198.00000000000003</x:v>
      </x:c>
      <x:c r="K57" t="str">
        <x:f>IF(E57&lt;J57,"At Risk","Healthy")</x:f>
        <x:v>Healthy</x:v>
      </x:c>
      <x:c r="L57" s="6" t="n">
        <x:f>E57*H57</x:f>
        <x:v>50095</x:v>
      </x:c>
      <x:c r="M57" s="6" t="n">
        <x:f>IF(K57="At Risk",L57,0)</x:f>
        <x:v>0</x:v>
      </x:c>
    </x:row>
    <x:row r="58">
      <x:c r="A58" t="str">
        <x:v>SKU-7057</x:v>
      </x:c>
      <x:c r="B58" t="str">
        <x:v>Industrial</x:v>
      </x:c>
      <x:c r="C58" t="str">
        <x:v>West</x:v>
      </x:c>
      <x:c r="D58" t="str">
        <x:v>Supplier I</x:v>
      </x:c>
      <x:c r="E58" t="n">
        <x:v>258</x:v>
      </x:c>
      <x:c r="F58" t="n">
        <x:v>16</x:v>
      </x:c>
      <x:c r="G58" t="n">
        <x:v>23</x:v>
      </x:c>
      <x:c r="H58" s="6" t="n">
        <x:v>262</x:v>
      </x:c>
      <x:c r="I58" s="7" t="n">
        <x:f>'Executive Dashboard'!$F$4</x:f>
        <x:v>1.1</x:v>
      </x:c>
      <x:c r="J58" s="8" t="n">
        <x:f>F58*G58*I58</x:f>
        <x:v>404.8</x:v>
      </x:c>
      <x:c r="K58" t="str">
        <x:f>IF(E58&lt;J58,"At Risk","Healthy")</x:f>
        <x:v>At Risk</x:v>
      </x:c>
      <x:c r="L58" s="6" t="n">
        <x:f>E58*H58</x:f>
        <x:v>67596</x:v>
      </x:c>
      <x:c r="M58" s="6" t="n">
        <x:f>IF(K58="At Risk",L58,0)</x:f>
        <x:v>67596</x:v>
      </x:c>
    </x:row>
    <x:row r="59">
      <x:c r="A59" t="str">
        <x:v>SKU-7058</x:v>
      </x:c>
      <x:c r="B59" t="str">
        <x:v>Medical</x:v>
      </x:c>
      <x:c r="C59" t="str">
        <x:v>South</x:v>
      </x:c>
      <x:c r="D59" t="str">
        <x:v>Supplier D</x:v>
      </x:c>
      <x:c r="E59" t="n">
        <x:v>301</x:v>
      </x:c>
      <x:c r="F59" t="n">
        <x:v>23</x:v>
      </x:c>
      <x:c r="G59" t="n">
        <x:v>26</x:v>
      </x:c>
      <x:c r="H59" s="6" t="n">
        <x:v>291</x:v>
      </x:c>
      <x:c r="I59" s="7" t="n">
        <x:f>'Executive Dashboard'!$F$4</x:f>
        <x:v>1.1</x:v>
      </x:c>
      <x:c r="J59" s="8" t="n">
        <x:f>F59*G59*I59</x:f>
        <x:v>657.8000000000001</x:v>
      </x:c>
      <x:c r="K59" t="str">
        <x:f>IF(E59&lt;J59,"At Risk","Healthy")</x:f>
        <x:v>At Risk</x:v>
      </x:c>
      <x:c r="L59" s="6" t="n">
        <x:f>E59*H59</x:f>
        <x:v>87591</x:v>
      </x:c>
      <x:c r="M59" s="6" t="n">
        <x:f>IF(K59="At Risk",L59,0)</x:f>
        <x:v>87591</x:v>
      </x:c>
    </x:row>
    <x:row r="60">
      <x:c r="A60" t="str">
        <x:v>SKU-7059</x:v>
      </x:c>
      <x:c r="B60" t="str">
        <x:v>Consumer</x:v>
      </x:c>
      <x:c r="C60" t="str">
        <x:v>Central</x:v>
      </x:c>
      <x:c r="D60" t="str">
        <x:v>Supplier K</x:v>
      </x:c>
      <x:c r="E60" t="n">
        <x:v>344</x:v>
      </x:c>
      <x:c r="F60" t="n">
        <x:v>30</x:v>
      </x:c>
      <x:c r="G60" t="n">
        <x:v>29</x:v>
      </x:c>
      <x:c r="H60" s="6" t="n">
        <x:v>320</x:v>
      </x:c>
      <x:c r="I60" s="7" t="n">
        <x:f>'Executive Dashboard'!$F$4</x:f>
        <x:v>1.1</x:v>
      </x:c>
      <x:c r="J60" s="8" t="n">
        <x:f>F60*G60*I60</x:f>
        <x:v>957.0000000000001</x:v>
      </x:c>
      <x:c r="K60" t="str">
        <x:f>IF(E60&lt;J60,"At Risk","Healthy")</x:f>
        <x:v>At Risk</x:v>
      </x:c>
      <x:c r="L60" s="6" t="n">
        <x:f>E60*H60</x:f>
        <x:v>110080</x:v>
      </x:c>
      <x:c r="M60" s="6" t="n">
        <x:f>IF(K60="At Risk",L60,0)</x:f>
        <x:v>110080</x:v>
      </x:c>
    </x:row>
    <x:row r="61">
      <x:c r="A61" t="str">
        <x:v>SKU-7060</x:v>
      </x:c>
      <x:c r="B61" t="str">
        <x:v>Network</x:v>
      </x:c>
      <x:c r="C61" t="str">
        <x:v>East</x:v>
      </x:c>
      <x:c r="D61" t="str">
        <x:v>Supplier F</x:v>
      </x:c>
      <x:c r="E61" t="n">
        <x:v>387</x:v>
      </x:c>
      <x:c r="F61" t="n">
        <x:v>37</x:v>
      </x:c>
      <x:c r="G61" t="n">
        <x:v>7</x:v>
      </x:c>
      <x:c r="H61" s="6" t="n">
        <x:v>349</x:v>
      </x:c>
      <x:c r="I61" s="7" t="n">
        <x:f>'Executive Dashboard'!$F$4</x:f>
        <x:v>1.1</x:v>
      </x:c>
      <x:c r="J61" s="8" t="n">
        <x:f>F61*G61*I61</x:f>
        <x:v>284.90000000000003</x:v>
      </x:c>
      <x:c r="K61" t="str">
        <x:f>IF(E61&lt;J61,"At Risk","Healthy")</x:f>
        <x:v>Healthy</x:v>
      </x:c>
      <x:c r="L61" s="6" t="n">
        <x:f>E61*H61</x:f>
        <x:v>135063</x:v>
      </x:c>
      <x:c r="M61" s="6" t="n">
        <x:f>IF(K61="At Risk",L61,0)</x:f>
        <x:v>0</x:v>
      </x:c>
    </x:row>
    <x:row r="62">
      <x:c r="A62" t="str">
        <x:v>SKU-7061</x:v>
      </x:c>
      <x:c r="B62" t="str">
        <x:v>Electronics</x:v>
      </x:c>
      <x:c r="C62" t="str">
        <x:v>West</x:v>
      </x:c>
      <x:c r="D62" t="str">
        <x:v>Supplier A</x:v>
      </x:c>
      <x:c r="E62" t="n">
        <x:v>430</x:v>
      </x:c>
      <x:c r="F62" t="n">
        <x:v>6</x:v>
      </x:c>
      <x:c r="G62" t="n">
        <x:v>10</x:v>
      </x:c>
      <x:c r="H62" s="6" t="n">
        <x:v>378</x:v>
      </x:c>
      <x:c r="I62" s="7" t="n">
        <x:f>'Executive Dashboard'!$F$4</x:f>
        <x:v>1.1</x:v>
      </x:c>
      <x:c r="J62" s="8" t="n">
        <x:f>F62*G62*I62</x:f>
        <x:v>66</x:v>
      </x:c>
      <x:c r="K62" t="str">
        <x:f>IF(E62&lt;J62,"At Risk","Healthy")</x:f>
        <x:v>Healthy</x:v>
      </x:c>
      <x:c r="L62" s="6" t="n">
        <x:f>E62*H62</x:f>
        <x:v>162540</x:v>
      </x:c>
      <x:c r="M62" s="6" t="n">
        <x:f>IF(K62="At Risk",L62,0)</x:f>
        <x:v>0</x:v>
      </x:c>
    </x:row>
    <x:row r="63">
      <x:c r="A63" t="str">
        <x:v>SKU-7062</x:v>
      </x:c>
      <x:c r="B63" t="str">
        <x:v>Industrial</x:v>
      </x:c>
      <x:c r="C63" t="str">
        <x:v>South</x:v>
      </x:c>
      <x:c r="D63" t="str">
        <x:v>Supplier H</x:v>
      </x:c>
      <x:c r="E63" t="n">
        <x:v>473</x:v>
      </x:c>
      <x:c r="F63" t="n">
        <x:v>13</x:v>
      </x:c>
      <x:c r="G63" t="n">
        <x:v>13</x:v>
      </x:c>
      <x:c r="H63" s="6" t="n">
        <x:v>407</x:v>
      </x:c>
      <x:c r="I63" s="7" t="n">
        <x:f>'Executive Dashboard'!$F$4</x:f>
        <x:v>1.1</x:v>
      </x:c>
      <x:c r="J63" s="8" t="n">
        <x:f>F63*G63*I63</x:f>
        <x:v>185.9</x:v>
      </x:c>
      <x:c r="K63" t="str">
        <x:f>IF(E63&lt;J63,"At Risk","Healthy")</x:f>
        <x:v>Healthy</x:v>
      </x:c>
      <x:c r="L63" s="6" t="n">
        <x:f>E63*H63</x:f>
        <x:v>192511</x:v>
      </x:c>
      <x:c r="M63" s="6" t="n">
        <x:f>IF(K63="At Risk",L63,0)</x:f>
        <x:v>0</x:v>
      </x:c>
    </x:row>
    <x:row r="64">
      <x:c r="A64" t="str">
        <x:v>SKU-7063</x:v>
      </x:c>
      <x:c r="B64" t="str">
        <x:v>Medical</x:v>
      </x:c>
      <x:c r="C64" t="str">
        <x:v>Central</x:v>
      </x:c>
      <x:c r="D64" t="str">
        <x:v>Supplier C</x:v>
      </x:c>
      <x:c r="E64" t="n">
        <x:v>516</x:v>
      </x:c>
      <x:c r="F64" t="n">
        <x:v>20</x:v>
      </x:c>
      <x:c r="G64" t="n">
        <x:v>16</x:v>
      </x:c>
      <x:c r="H64" s="6" t="n">
        <x:v>436</x:v>
      </x:c>
      <x:c r="I64" s="7" t="n">
        <x:f>'Executive Dashboard'!$F$4</x:f>
        <x:v>1.1</x:v>
      </x:c>
      <x:c r="J64" s="8" t="n">
        <x:f>F64*G64*I64</x:f>
        <x:v>352</x:v>
      </x:c>
      <x:c r="K64" t="str">
        <x:f>IF(E64&lt;J64,"At Risk","Healthy")</x:f>
        <x:v>Healthy</x:v>
      </x:c>
      <x:c r="L64" s="6" t="n">
        <x:f>E64*H64</x:f>
        <x:v>224976</x:v>
      </x:c>
      <x:c r="M64" s="6" t="n">
        <x:f>IF(K64="At Risk",L64,0)</x:f>
        <x:v>0</x:v>
      </x:c>
    </x:row>
    <x:row r="65">
      <x:c r="A65" t="str">
        <x:v>SKU-7064</x:v>
      </x:c>
      <x:c r="B65" t="str">
        <x:v>Consumer</x:v>
      </x:c>
      <x:c r="C65" t="str">
        <x:v>East</x:v>
      </x:c>
      <x:c r="D65" t="str">
        <x:v>Supplier J</x:v>
      </x:c>
      <x:c r="E65" t="n">
        <x:v>559</x:v>
      </x:c>
      <x:c r="F65" t="n">
        <x:v>27</x:v>
      </x:c>
      <x:c r="G65" t="n">
        <x:v>19</x:v>
      </x:c>
      <x:c r="H65" s="6" t="n">
        <x:v>465</x:v>
      </x:c>
      <x:c r="I65" s="7" t="n">
        <x:f>'Executive Dashboard'!$F$4</x:f>
        <x:v>1.1</x:v>
      </x:c>
      <x:c r="J65" s="8" t="n">
        <x:f>F65*G65*I65</x:f>
        <x:v>564.3000000000001</x:v>
      </x:c>
      <x:c r="K65" t="str">
        <x:f>IF(E65&lt;J65,"At Risk","Healthy")</x:f>
        <x:v>At Risk</x:v>
      </x:c>
      <x:c r="L65" s="6" t="n">
        <x:f>E65*H65</x:f>
        <x:v>259935</x:v>
      </x:c>
      <x:c r="M65" s="6" t="n">
        <x:f>IF(K65="At Risk",L65,0)</x:f>
        <x:v>259935</x:v>
      </x:c>
    </x:row>
    <x:row r="66">
      <x:c r="A66" t="str">
        <x:v>SKU-7065</x:v>
      </x:c>
      <x:c r="B66" t="str">
        <x:v>Network</x:v>
      </x:c>
      <x:c r="C66" t="str">
        <x:v>West</x:v>
      </x:c>
      <x:c r="D66" t="str">
        <x:v>Supplier E</x:v>
      </x:c>
      <x:c r="E66" t="n">
        <x:v>602</x:v>
      </x:c>
      <x:c r="F66" t="n">
        <x:v>34</x:v>
      </x:c>
      <x:c r="G66" t="n">
        <x:v>22</x:v>
      </x:c>
      <x:c r="H66" s="6" t="n">
        <x:v>34</x:v>
      </x:c>
      <x:c r="I66" s="7" t="n">
        <x:f>'Executive Dashboard'!$F$4</x:f>
        <x:v>1.1</x:v>
      </x:c>
      <x:c r="J66" s="8" t="n">
        <x:f>F66*G66*I66</x:f>
        <x:v>822.8000000000001</x:v>
      </x:c>
      <x:c r="K66" t="str">
        <x:f>IF(E66&lt;J66,"At Risk","Healthy")</x:f>
        <x:v>At Risk</x:v>
      </x:c>
      <x:c r="L66" s="6" t="n">
        <x:f>E66*H66</x:f>
        <x:v>20468</x:v>
      </x:c>
      <x:c r="M66" s="6" t="n">
        <x:f>IF(K66="At Risk",L66,0)</x:f>
        <x:v>20468</x:v>
      </x:c>
    </x:row>
    <x:row r="67">
      <x:c r="A67" t="str">
        <x:v>SKU-7066</x:v>
      </x:c>
      <x:c r="B67" t="str">
        <x:v>Electronics</x:v>
      </x:c>
      <x:c r="C67" t="str">
        <x:v>South</x:v>
      </x:c>
      <x:c r="D67" t="str">
        <x:v>Supplier L</x:v>
      </x:c>
      <x:c r="E67" t="n">
        <x:v>645</x:v>
      </x:c>
      <x:c r="F67" t="n">
        <x:v>41</x:v>
      </x:c>
      <x:c r="G67" t="n">
        <x:v>25</x:v>
      </x:c>
      <x:c r="H67" s="6" t="n">
        <x:v>63</x:v>
      </x:c>
      <x:c r="I67" s="7" t="n">
        <x:f>'Executive Dashboard'!$F$4</x:f>
        <x:v>1.1</x:v>
      </x:c>
      <x:c r="J67" s="8" t="n">
        <x:f>F67*G67*I67</x:f>
        <x:v>1127.5</x:v>
      </x:c>
      <x:c r="K67" t="str">
        <x:f>IF(E67&lt;J67,"At Risk","Healthy")</x:f>
        <x:v>At Risk</x:v>
      </x:c>
      <x:c r="L67" s="6" t="n">
        <x:f>E67*H67</x:f>
        <x:v>40635</x:v>
      </x:c>
      <x:c r="M67" s="6" t="n">
        <x:f>IF(K67="At Risk",L67,0)</x:f>
        <x:v>40635</x:v>
      </x:c>
    </x:row>
    <x:row r="68">
      <x:c r="A68" t="str">
        <x:v>SKU-7067</x:v>
      </x:c>
      <x:c r="B68" t="str">
        <x:v>Industrial</x:v>
      </x:c>
      <x:c r="C68" t="str">
        <x:v>Central</x:v>
      </x:c>
      <x:c r="D68" t="str">
        <x:v>Supplier G</x:v>
      </x:c>
      <x:c r="E68" t="n">
        <x:v>688</x:v>
      </x:c>
      <x:c r="F68" t="n">
        <x:v>10</x:v>
      </x:c>
      <x:c r="G68" t="n">
        <x:v>28</x:v>
      </x:c>
      <x:c r="H68" s="6" t="n">
        <x:v>92</x:v>
      </x:c>
      <x:c r="I68" s="7" t="n">
        <x:f>'Executive Dashboard'!$F$4</x:f>
        <x:v>1.1</x:v>
      </x:c>
      <x:c r="J68" s="8" t="n">
        <x:f>F68*G68*I68</x:f>
        <x:v>308</x:v>
      </x:c>
      <x:c r="K68" t="str">
        <x:f>IF(E68&lt;J68,"At Risk","Healthy")</x:f>
        <x:v>Healthy</x:v>
      </x:c>
      <x:c r="L68" s="6" t="n">
        <x:f>E68*H68</x:f>
        <x:v>63296</x:v>
      </x:c>
      <x:c r="M68" s="6" t="n">
        <x:f>IF(K68="At Risk",L68,0)</x:f>
        <x:v>0</x:v>
      </x:c>
    </x:row>
    <x:row r="69">
      <x:c r="A69" t="str">
        <x:v>SKU-7068</x:v>
      </x:c>
      <x:c r="B69" t="str">
        <x:v>Medical</x:v>
      </x:c>
      <x:c r="C69" t="str">
        <x:v>East</x:v>
      </x:c>
      <x:c r="D69" t="str">
        <x:v>Supplier B</x:v>
      </x:c>
      <x:c r="E69" t="n">
        <x:v>731</x:v>
      </x:c>
      <x:c r="F69" t="n">
        <x:v>17</x:v>
      </x:c>
      <x:c r="G69" t="n">
        <x:v>6</x:v>
      </x:c>
      <x:c r="H69" s="6" t="n">
        <x:v>121</x:v>
      </x:c>
      <x:c r="I69" s="7" t="n">
        <x:f>'Executive Dashboard'!$F$4</x:f>
        <x:v>1.1</x:v>
      </x:c>
      <x:c r="J69" s="8" t="n">
        <x:f>F69*G69*I69</x:f>
        <x:v>112.2</x:v>
      </x:c>
      <x:c r="K69" t="str">
        <x:f>IF(E69&lt;J69,"At Risk","Healthy")</x:f>
        <x:v>Healthy</x:v>
      </x:c>
      <x:c r="L69" s="6" t="n">
        <x:f>E69*H69</x:f>
        <x:v>88451</x:v>
      </x:c>
      <x:c r="M69" s="6" t="n">
        <x:f>IF(K69="At Risk",L69,0)</x:f>
        <x:v>0</x:v>
      </x:c>
    </x:row>
    <x:row r="70">
      <x:c r="A70" t="str">
        <x:v>SKU-7069</x:v>
      </x:c>
      <x:c r="B70" t="str">
        <x:v>Consumer</x:v>
      </x:c>
      <x:c r="C70" t="str">
        <x:v>West</x:v>
      </x:c>
      <x:c r="D70" t="str">
        <x:v>Supplier I</x:v>
      </x:c>
      <x:c r="E70" t="n">
        <x:v>44</x:v>
      </x:c>
      <x:c r="F70" t="n">
        <x:v>24</x:v>
      </x:c>
      <x:c r="G70" t="n">
        <x:v>9</x:v>
      </x:c>
      <x:c r="H70" s="6" t="n">
        <x:v>150</x:v>
      </x:c>
      <x:c r="I70" s="7" t="n">
        <x:f>'Executive Dashboard'!$F$4</x:f>
        <x:v>1.1</x:v>
      </x:c>
      <x:c r="J70" s="8" t="n">
        <x:f>F70*G70*I70</x:f>
        <x:v>237.60000000000002</x:v>
      </x:c>
      <x:c r="K70" t="str">
        <x:f>IF(E70&lt;J70,"At Risk","Healthy")</x:f>
        <x:v>At Risk</x:v>
      </x:c>
      <x:c r="L70" s="6" t="n">
        <x:f>E70*H70</x:f>
        <x:v>6600</x:v>
      </x:c>
      <x:c r="M70" s="6" t="n">
        <x:f>IF(K70="At Risk",L70,0)</x:f>
        <x:v>6600</x:v>
      </x:c>
    </x:row>
    <x:row r="71">
      <x:c r="A71" t="str">
        <x:v>SKU-7070</x:v>
      </x:c>
      <x:c r="B71" t="str">
        <x:v>Network</x:v>
      </x:c>
      <x:c r="C71" t="str">
        <x:v>South</x:v>
      </x:c>
      <x:c r="D71" t="str">
        <x:v>Supplier D</x:v>
      </x:c>
      <x:c r="E71" t="n">
        <x:v>87</x:v>
      </x:c>
      <x:c r="F71" t="n">
        <x:v>31</x:v>
      </x:c>
      <x:c r="G71" t="n">
        <x:v>12</x:v>
      </x:c>
      <x:c r="H71" s="6" t="n">
        <x:v>179</x:v>
      </x:c>
      <x:c r="I71" s="7" t="n">
        <x:f>'Executive Dashboard'!$F$4</x:f>
        <x:v>1.1</x:v>
      </x:c>
      <x:c r="J71" s="8" t="n">
        <x:f>F71*G71*I71</x:f>
        <x:v>409.20000000000005</x:v>
      </x:c>
      <x:c r="K71" t="str">
        <x:f>IF(E71&lt;J71,"At Risk","Healthy")</x:f>
        <x:v>At Risk</x:v>
      </x:c>
      <x:c r="L71" s="6" t="n">
        <x:f>E71*H71</x:f>
        <x:v>15573</x:v>
      </x:c>
      <x:c r="M71" s="6" t="n">
        <x:f>IF(K71="At Risk",L71,0)</x:f>
        <x:v>15573</x:v>
      </x:c>
    </x:row>
    <x:row r="72">
      <x:c r="A72" t="str">
        <x:v>SKU-7071</x:v>
      </x:c>
      <x:c r="B72" t="str">
        <x:v>Electronics</x:v>
      </x:c>
      <x:c r="C72" t="str">
        <x:v>Central</x:v>
      </x:c>
      <x:c r="D72" t="str">
        <x:v>Supplier K</x:v>
      </x:c>
      <x:c r="E72" t="n">
        <x:v>130</x:v>
      </x:c>
      <x:c r="F72" t="n">
        <x:v>38</x:v>
      </x:c>
      <x:c r="G72" t="n">
        <x:v>15</x:v>
      </x:c>
      <x:c r="H72" s="6" t="n">
        <x:v>208</x:v>
      </x:c>
      <x:c r="I72" s="7" t="n">
        <x:f>'Executive Dashboard'!$F$4</x:f>
        <x:v>1.1</x:v>
      </x:c>
      <x:c r="J72" s="8" t="n">
        <x:f>F72*G72*I72</x:f>
        <x:v>627</x:v>
      </x:c>
      <x:c r="K72" t="str">
        <x:f>IF(E72&lt;J72,"At Risk","Healthy")</x:f>
        <x:v>At Risk</x:v>
      </x:c>
      <x:c r="L72" s="6" t="n">
        <x:f>E72*H72</x:f>
        <x:v>27040</x:v>
      </x:c>
      <x:c r="M72" s="6" t="n">
        <x:f>IF(K72="At Risk",L72,0)</x:f>
        <x:v>27040</x:v>
      </x:c>
    </x:row>
    <x:row r="73">
      <x:c r="A73" t="str">
        <x:v>SKU-7072</x:v>
      </x:c>
      <x:c r="B73" t="str">
        <x:v>Industrial</x:v>
      </x:c>
      <x:c r="C73" t="str">
        <x:v>East</x:v>
      </x:c>
      <x:c r="D73" t="str">
        <x:v>Supplier F</x:v>
      </x:c>
      <x:c r="E73" t="n">
        <x:v>173</x:v>
      </x:c>
      <x:c r="F73" t="n">
        <x:v>7</x:v>
      </x:c>
      <x:c r="G73" t="n">
        <x:v>18</x:v>
      </x:c>
      <x:c r="H73" s="6" t="n">
        <x:v>237</x:v>
      </x:c>
      <x:c r="I73" s="7" t="n">
        <x:f>'Executive Dashboard'!$F$4</x:f>
        <x:v>1.1</x:v>
      </x:c>
      <x:c r="J73" s="8" t="n">
        <x:f>F73*G73*I73</x:f>
        <x:v>138.60000000000002</x:v>
      </x:c>
      <x:c r="K73" t="str">
        <x:f>IF(E73&lt;J73,"At Risk","Healthy")</x:f>
        <x:v>Healthy</x:v>
      </x:c>
      <x:c r="L73" s="6" t="n">
        <x:f>E73*H73</x:f>
        <x:v>41001</x:v>
      </x:c>
      <x:c r="M73" s="6" t="n">
        <x:f>IF(K73="At Risk",L73,0)</x:f>
        <x:v>0</x:v>
      </x:c>
    </x:row>
    <x:row r="74">
      <x:c r="A74" t="str">
        <x:v>SKU-7073</x:v>
      </x:c>
      <x:c r="B74" t="str">
        <x:v>Medical</x:v>
      </x:c>
      <x:c r="C74" t="str">
        <x:v>West</x:v>
      </x:c>
      <x:c r="D74" t="str">
        <x:v>Supplier A</x:v>
      </x:c>
      <x:c r="E74" t="n">
        <x:v>216</x:v>
      </x:c>
      <x:c r="F74" t="n">
        <x:v>14</x:v>
      </x:c>
      <x:c r="G74" t="n">
        <x:v>21</x:v>
      </x:c>
      <x:c r="H74" s="6" t="n">
        <x:v>266</x:v>
      </x:c>
      <x:c r="I74" s="7" t="n">
        <x:f>'Executive Dashboard'!$F$4</x:f>
        <x:v>1.1</x:v>
      </x:c>
      <x:c r="J74" s="8" t="n">
        <x:f>F74*G74*I74</x:f>
        <x:v>323.40000000000003</x:v>
      </x:c>
      <x:c r="K74" t="str">
        <x:f>IF(E74&lt;J74,"At Risk","Healthy")</x:f>
        <x:v>At Risk</x:v>
      </x:c>
      <x:c r="L74" s="6" t="n">
        <x:f>E74*H74</x:f>
        <x:v>57456</x:v>
      </x:c>
      <x:c r="M74" s="6" t="n">
        <x:f>IF(K74="At Risk",L74,0)</x:f>
        <x:v>57456</x:v>
      </x:c>
    </x:row>
    <x:row r="75">
      <x:c r="A75" t="str">
        <x:v>SKU-7074</x:v>
      </x:c>
      <x:c r="B75" t="str">
        <x:v>Consumer</x:v>
      </x:c>
      <x:c r="C75" t="str">
        <x:v>South</x:v>
      </x:c>
      <x:c r="D75" t="str">
        <x:v>Supplier H</x:v>
      </x:c>
      <x:c r="E75" t="n">
        <x:v>259</x:v>
      </x:c>
      <x:c r="F75" t="n">
        <x:v>21</x:v>
      </x:c>
      <x:c r="G75" t="n">
        <x:v>24</x:v>
      </x:c>
      <x:c r="H75" s="6" t="n">
        <x:v>295</x:v>
      </x:c>
      <x:c r="I75" s="7" t="n">
        <x:f>'Executive Dashboard'!$F$4</x:f>
        <x:v>1.1</x:v>
      </x:c>
      <x:c r="J75" s="8" t="n">
        <x:f>F75*G75*I75</x:f>
        <x:v>554.4000000000001</x:v>
      </x:c>
      <x:c r="K75" t="str">
        <x:f>IF(E75&lt;J75,"At Risk","Healthy")</x:f>
        <x:v>At Risk</x:v>
      </x:c>
      <x:c r="L75" s="6" t="n">
        <x:f>E75*H75</x:f>
        <x:v>76405</x:v>
      </x:c>
      <x:c r="M75" s="6" t="n">
        <x:f>IF(K75="At Risk",L75,0)</x:f>
        <x:v>76405</x:v>
      </x:c>
    </x:row>
    <x:row r="76">
      <x:c r="A76" t="str">
        <x:v>SKU-7075</x:v>
      </x:c>
      <x:c r="B76" t="str">
        <x:v>Network</x:v>
      </x:c>
      <x:c r="C76" t="str">
        <x:v>Central</x:v>
      </x:c>
      <x:c r="D76" t="str">
        <x:v>Supplier C</x:v>
      </x:c>
      <x:c r="E76" t="n">
        <x:v>302</x:v>
      </x:c>
      <x:c r="F76" t="n">
        <x:v>28</x:v>
      </x:c>
      <x:c r="G76" t="n">
        <x:v>27</x:v>
      </x:c>
      <x:c r="H76" s="6" t="n">
        <x:v>324</x:v>
      </x:c>
      <x:c r="I76" s="7" t="n">
        <x:f>'Executive Dashboard'!$F$4</x:f>
        <x:v>1.1</x:v>
      </x:c>
      <x:c r="J76" s="8" t="n">
        <x:f>F76*G76*I76</x:f>
        <x:v>831.6</x:v>
      </x:c>
      <x:c r="K76" t="str">
        <x:f>IF(E76&lt;J76,"At Risk","Healthy")</x:f>
        <x:v>At Risk</x:v>
      </x:c>
      <x:c r="L76" s="6" t="n">
        <x:f>E76*H76</x:f>
        <x:v>97848</x:v>
      </x:c>
      <x:c r="M76" s="6" t="n">
        <x:f>IF(K76="At Risk",L76,0)</x:f>
        <x:v>97848</x:v>
      </x:c>
    </x:row>
    <x:row r="77">
      <x:c r="A77" t="str">
        <x:v>SKU-7076</x:v>
      </x:c>
      <x:c r="B77" t="str">
        <x:v>Electronics</x:v>
      </x:c>
      <x:c r="C77" t="str">
        <x:v>East</x:v>
      </x:c>
      <x:c r="D77" t="str">
        <x:v>Supplier J</x:v>
      </x:c>
      <x:c r="E77" t="n">
        <x:v>345</x:v>
      </x:c>
      <x:c r="F77" t="n">
        <x:v>35</x:v>
      </x:c>
      <x:c r="G77" t="n">
        <x:v>5</x:v>
      </x:c>
      <x:c r="H77" s="6" t="n">
        <x:v>353</x:v>
      </x:c>
      <x:c r="I77" s="7" t="n">
        <x:f>'Executive Dashboard'!$F$4</x:f>
        <x:v>1.1</x:v>
      </x:c>
      <x:c r="J77" s="8" t="n">
        <x:f>F77*G77*I77</x:f>
        <x:v>192.50000000000003</x:v>
      </x:c>
      <x:c r="K77" t="str">
        <x:f>IF(E77&lt;J77,"At Risk","Healthy")</x:f>
        <x:v>Healthy</x:v>
      </x:c>
      <x:c r="L77" s="6" t="n">
        <x:f>E77*H77</x:f>
        <x:v>121785</x:v>
      </x:c>
      <x:c r="M77" s="6" t="n">
        <x:f>IF(K77="At Risk",L77,0)</x:f>
        <x:v>0</x:v>
      </x:c>
    </x:row>
    <x:row r="78">
      <x:c r="A78" t="str">
        <x:v>SKU-7077</x:v>
      </x:c>
      <x:c r="B78" t="str">
        <x:v>Industrial</x:v>
      </x:c>
      <x:c r="C78" t="str">
        <x:v>West</x:v>
      </x:c>
      <x:c r="D78" t="str">
        <x:v>Supplier E</x:v>
      </x:c>
      <x:c r="E78" t="n">
        <x:v>388</x:v>
      </x:c>
      <x:c r="F78" t="n">
        <x:v>4</x:v>
      </x:c>
      <x:c r="G78" t="n">
        <x:v>8</x:v>
      </x:c>
      <x:c r="H78" s="6" t="n">
        <x:v>382</x:v>
      </x:c>
      <x:c r="I78" s="7" t="n">
        <x:f>'Executive Dashboard'!$F$4</x:f>
        <x:v>1.1</x:v>
      </x:c>
      <x:c r="J78" s="8" t="n">
        <x:f>F78*G78*I78</x:f>
        <x:v>35.2</x:v>
      </x:c>
      <x:c r="K78" t="str">
        <x:f>IF(E78&lt;J78,"At Risk","Healthy")</x:f>
        <x:v>Healthy</x:v>
      </x:c>
      <x:c r="L78" s="6" t="n">
        <x:f>E78*H78</x:f>
        <x:v>148216</x:v>
      </x:c>
      <x:c r="M78" s="6" t="n">
        <x:f>IF(K78="At Risk",L78,0)</x:f>
        <x:v>0</x:v>
      </x:c>
    </x:row>
    <x:row r="79">
      <x:c r="A79" t="str">
        <x:v>SKU-7078</x:v>
      </x:c>
      <x:c r="B79" t="str">
        <x:v>Medical</x:v>
      </x:c>
      <x:c r="C79" t="str">
        <x:v>South</x:v>
      </x:c>
      <x:c r="D79" t="str">
        <x:v>Supplier L</x:v>
      </x:c>
      <x:c r="E79" t="n">
        <x:v>431</x:v>
      </x:c>
      <x:c r="F79" t="n">
        <x:v>11</x:v>
      </x:c>
      <x:c r="G79" t="n">
        <x:v>11</x:v>
      </x:c>
      <x:c r="H79" s="6" t="n">
        <x:v>411</x:v>
      </x:c>
      <x:c r="I79" s="7" t="n">
        <x:f>'Executive Dashboard'!$F$4</x:f>
        <x:v>1.1</x:v>
      </x:c>
      <x:c r="J79" s="8" t="n">
        <x:f>F79*G79*I79</x:f>
        <x:v>133.10000000000002</x:v>
      </x:c>
      <x:c r="K79" t="str">
        <x:f>IF(E79&lt;J79,"At Risk","Healthy")</x:f>
        <x:v>Healthy</x:v>
      </x:c>
      <x:c r="L79" s="6" t="n">
        <x:f>E79*H79</x:f>
        <x:v>177141</x:v>
      </x:c>
      <x:c r="M79" s="6" t="n">
        <x:f>IF(K79="At Risk",L79,0)</x:f>
        <x:v>0</x:v>
      </x:c>
    </x:row>
    <x:row r="80">
      <x:c r="A80" t="str">
        <x:v>SKU-7079</x:v>
      </x:c>
      <x:c r="B80" t="str">
        <x:v>Consumer</x:v>
      </x:c>
      <x:c r="C80" t="str">
        <x:v>Central</x:v>
      </x:c>
      <x:c r="D80" t="str">
        <x:v>Supplier G</x:v>
      </x:c>
      <x:c r="E80" t="n">
        <x:v>474</x:v>
      </x:c>
      <x:c r="F80" t="n">
        <x:v>18</x:v>
      </x:c>
      <x:c r="G80" t="n">
        <x:v>14</x:v>
      </x:c>
      <x:c r="H80" s="6" t="n">
        <x:v>440</x:v>
      </x:c>
      <x:c r="I80" s="7" t="n">
        <x:f>'Executive Dashboard'!$F$4</x:f>
        <x:v>1.1</x:v>
      </x:c>
      <x:c r="J80" s="8" t="n">
        <x:f>F80*G80*I80</x:f>
        <x:v>277.20000000000005</x:v>
      </x:c>
      <x:c r="K80" t="str">
        <x:f>IF(E80&lt;J80,"At Risk","Healthy")</x:f>
        <x:v>Healthy</x:v>
      </x:c>
      <x:c r="L80" s="6" t="n">
        <x:f>E80*H80</x:f>
        <x:v>208560</x:v>
      </x:c>
      <x:c r="M80" s="6" t="n">
        <x:f>IF(K80="At Risk",L80,0)</x:f>
        <x:v>0</x:v>
      </x:c>
    </x:row>
    <x:row r="81">
      <x:c r="A81" t="str">
        <x:v>SKU-7080</x:v>
      </x:c>
      <x:c r="B81" t="str">
        <x:v>Network</x:v>
      </x:c>
      <x:c r="C81" t="str">
        <x:v>East</x:v>
      </x:c>
      <x:c r="D81" t="str">
        <x:v>Supplier B</x:v>
      </x:c>
      <x:c r="E81" t="n">
        <x:v>517</x:v>
      </x:c>
      <x:c r="F81" t="n">
        <x:v>25</x:v>
      </x:c>
      <x:c r="G81" t="n">
        <x:v>17</x:v>
      </x:c>
      <x:c r="H81" s="6" t="n">
        <x:v>469</x:v>
      </x:c>
      <x:c r="I81" s="7" t="n">
        <x:f>'Executive Dashboard'!$F$4</x:f>
        <x:v>1.1</x:v>
      </x:c>
      <x:c r="J81" s="8" t="n">
        <x:f>F81*G81*I81</x:f>
        <x:v>467.50000000000006</x:v>
      </x:c>
      <x:c r="K81" t="str">
        <x:f>IF(E81&lt;J81,"At Risk","Healthy")</x:f>
        <x:v>Healthy</x:v>
      </x:c>
      <x:c r="L81" s="6" t="n">
        <x:f>E81*H81</x:f>
        <x:v>242473</x:v>
      </x:c>
      <x:c r="M81" s="6" t="n">
        <x:f>IF(K81="At Risk",L81,0)</x:f>
        <x:v>0</x:v>
      </x:c>
    </x:row>
  </x:sheetData>
  <x:conditionalFormatting sqref="K2:K81">
    <x:cfRule type="containsText" dxfId="1" priority="1" operator="containsText" text="At Risk"/>
  </x:conditionalFormatting>
  <x:conditionalFormatting sqref="M2:M81">
    <x:cfRule type="dataBar" priority="2">
      <x:dataBar>
        <x:cfvo type="min"/>
        <x:cfvo type="max"/>
        <x:color rgb="FFE15759"/>
      </x:dataBar>
      <x:extLst>
        <x:ext xmlns:x14="http://schemas.microsoft.com/office/spreadsheetml/2009/9/main" uri="{B025F937-C7B1-47D3-B67F-A62EFF666E3E}">
          <x14:id>{7F9D28EE-89A4-017B-E3D4-473506B29104}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8fbb4eb15e6451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F9D28EE-89A4-017B-E3D4-473506B29104}">
            <x14:dataBar gradient="1">
              <x14:cfvo type="min"/>
              <x14:cfvo type="max"/>
              <x14:fillColor rgb="FFE15759"/>
            </x14:dataBar>
          </x14:cfRule>
          <xm:sqref>M2:M81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" t="str">
        <x:v>Supplier</x:v>
      </x:c>
      <x:c r="B1" s="2" t="str">
        <x:v>Shipments</x:v>
      </x:c>
      <x:c r="C1" s="2" t="str">
        <x:v>On-Time %</x:v>
      </x:c>
      <x:c r="D1" s="2" t="str">
        <x:v>Fill Rate</x:v>
      </x:c>
      <x:c r="E1" s="2" t="str">
        <x:v>Forecast Accuracy</x:v>
      </x:c>
      <x:c r="F1" s="2" t="str">
        <x:v>Avg Freight Cost</x:v>
      </x:c>
      <x:c r="G1" s="2" t="str">
        <x:v>Composite Score</x:v>
      </x:c>
    </x:row>
    <x:row r="2">
      <x:c r="A2" t="str">
        <x:v>Supplier A</x:v>
      </x:c>
      <x:c r="B2" t="n">
        <x:f>COUNTIF('Shipment Data'!$D$2:$D$241,A2)</x:f>
        <x:v>20</x:v>
      </x:c>
      <x:c r="C2" s="5" t="n">
        <x:f>COUNTIFS('Shipment Data'!$D$2:$D$241,A2,'Shipment Data'!$K$2:$K$241,"Yes")/B2</x:f>
        <x:v>0.45</x:v>
      </x:c>
      <x:c r="D2" s="5" t="n">
        <x:f>SUMIF('Shipment Data'!$D$2:$D$241,A2,'Shipment Data'!$G$2:$G$241)/SUMIF('Shipment Data'!$D$2:$D$241,A2,'Shipment Data'!$F$2:$F$241)</x:f>
        <x:v>0.9323308270676691</x:v>
      </x:c>
      <x:c r="E2" s="5" t="n">
        <x:f>1-SUMIF('Shipment Data'!$D$2:$D$241,A2,'Shipment Data'!$M$2:$M$241)/SUMIF('Shipment Data'!$D$2:$D$241,A2,'Shipment Data'!$G$2:$G$241)</x:f>
        <x:v>0.8657258064516129</x:v>
      </x:c>
      <x:c r="F2" s="6" t="n">
        <x:f>AVERAGEIF('Shipment Data'!$D$2:$D$241,A2,'Shipment Data'!$N$2:$N$241)</x:f>
        <x:v>1692</x:v>
      </x:c>
      <x:c r="G2" s="5" t="n">
        <x:f>0.40*C2+0.30*D2+0.20*E2+0.10*(1-MIN(F2/3000,1))</x:f>
        <x:v>0.6764444094106233</x:v>
      </x:c>
    </x:row>
    <x:row r="3">
      <x:c r="A3" t="str">
        <x:v>Supplier B</x:v>
      </x:c>
      <x:c r="B3" t="n">
        <x:f>COUNTIF('Shipment Data'!$D$2:$D$241,A3)</x:f>
        <x:v>20</x:v>
      </x:c>
      <x:c r="C3" s="5" t="n">
        <x:f>COUNTIFS('Shipment Data'!$D$2:$D$241,A3,'Shipment Data'!$K$2:$K$241,"Yes")/B3</x:f>
        <x:v>0.45</x:v>
      </x:c>
      <x:c r="D3" s="5" t="n">
        <x:f>SUMIF('Shipment Data'!$D$2:$D$241,A3,'Shipment Data'!$G$2:$G$241)/SUMIF('Shipment Data'!$D$2:$D$241,A3,'Shipment Data'!$F$2:$F$241)</x:f>
        <x:v>0.9328621908127208</x:v>
      </x:c>
      <x:c r="E3" s="5" t="n">
        <x:f>1-SUMIF('Shipment Data'!$D$2:$D$241,A3,'Shipment Data'!$M$2:$M$241)/SUMIF('Shipment Data'!$D$2:$D$241,A3,'Shipment Data'!$G$2:$G$241)</x:f>
        <x:v>0.8537878787878788</x:v>
      </x:c>
      <x:c r="F3" s="6" t="n">
        <x:f>AVERAGEIF('Shipment Data'!$D$2:$D$241,A3,'Shipment Data'!$N$2:$N$241)</x:f>
        <x:v>1717</x:v>
      </x:c>
      <x:c r="G3" s="5" t="n">
        <x:f>0.40*C3+0.30*D3+0.20*E3+0.10*(1-MIN(F3/3000,1))</x:f>
        <x:v>0.6733828996680586</x:v>
      </x:c>
    </x:row>
    <x:row r="4">
      <x:c r="A4" t="str">
        <x:v>Supplier C</x:v>
      </x:c>
      <x:c r="B4" t="n">
        <x:f>COUNTIF('Shipment Data'!$D$2:$D$241,A4)</x:f>
        <x:v>20</x:v>
      </x:c>
      <x:c r="C4" s="5" t="n">
        <x:f>COUNTIFS('Shipment Data'!$D$2:$D$241,A4,'Shipment Data'!$K$2:$K$241,"Yes")/B4</x:f>
        <x:v>0.45</x:v>
      </x:c>
      <x:c r="D4" s="5" t="n">
        <x:f>SUMIF('Shipment Data'!$D$2:$D$241,A4,'Shipment Data'!$G$2:$G$241)/SUMIF('Shipment Data'!$D$2:$D$241,A4,'Shipment Data'!$F$2:$F$241)</x:f>
        <x:v>0.9376947040498442</x:v>
      </x:c>
      <x:c r="E4" s="5" t="n">
        <x:f>1-SUMIF('Shipment Data'!$D$2:$D$241,A4,'Shipment Data'!$M$2:$M$241)/SUMIF('Shipment Data'!$D$2:$D$241,A4,'Shipment Data'!$G$2:$G$241)</x:f>
        <x:v>0.8943521594684385</x:v>
      </x:c>
      <x:c r="F4" s="6" t="n">
        <x:f>AVERAGEIF('Shipment Data'!$D$2:$D$241,A4,'Shipment Data'!$N$2:$N$241)</x:f>
        <x:v>1612</x:v>
      </x:c>
      <x:c r="G4" s="5" t="n">
        <x:f>0.40*C4+0.30*D4+0.20*E4+0.10*(1-MIN(F4/3000,1))</x:f>
        <x:v>0.6864455097753076</x:v>
      </x:c>
    </x:row>
    <x:row r="5">
      <x:c r="A5" t="str">
        <x:v>Supplier D</x:v>
      </x:c>
      <x:c r="B5" t="n">
        <x:f>COUNTIF('Shipment Data'!$D$2:$D$241,A5)</x:f>
        <x:v>20</x:v>
      </x:c>
      <x:c r="C5" s="5" t="n">
        <x:f>COUNTIFS('Shipment Data'!$D$2:$D$241,A5,'Shipment Data'!$K$2:$K$241,"Yes")/B5</x:f>
        <x:v>0.4</x:v>
      </x:c>
      <x:c r="D5" s="5" t="n">
        <x:f>SUMIF('Shipment Data'!$D$2:$D$241,A5,'Shipment Data'!$G$2:$G$241)/SUMIF('Shipment Data'!$D$2:$D$241,A5,'Shipment Data'!$F$2:$F$241)</x:f>
        <x:v>0.9227941176470589</x:v>
      </x:c>
      <x:c r="E5" s="5" t="n">
        <x:f>1-SUMIF('Shipment Data'!$D$2:$D$241,A5,'Shipment Data'!$M$2:$M$241)/SUMIF('Shipment Data'!$D$2:$D$241,A5,'Shipment Data'!$G$2:$G$241)</x:f>
        <x:v>0.8541832669322709</x:v>
      </x:c>
      <x:c r="F5" s="6" t="n">
        <x:f>AVERAGEIF('Shipment Data'!$D$2:$D$241,A5,'Shipment Data'!$N$2:$N$241)</x:f>
        <x:v>1681</x:v>
      </x:c>
      <x:c r="G5" s="5" t="n">
        <x:f>0.40*C5+0.30*D5+0.20*E5+0.10*(1-MIN(F5/3000,1))</x:f>
        <x:v>0.6516415553472386</x:v>
      </x:c>
    </x:row>
    <x:row r="6">
      <x:c r="A6" t="str">
        <x:v>Supplier E</x:v>
      </x:c>
      <x:c r="B6" t="n">
        <x:f>COUNTIF('Shipment Data'!$D$2:$D$241,A6)</x:f>
        <x:v>20</x:v>
      </x:c>
      <x:c r="C6" s="5" t="n">
        <x:f>COUNTIFS('Shipment Data'!$D$2:$D$241,A6,'Shipment Data'!$K$2:$K$241,"Yes")/B6</x:f>
        <x:v>0.4</x:v>
      </x:c>
      <x:c r="D6" s="5" t="n">
        <x:f>SUMIF('Shipment Data'!$D$2:$D$241,A6,'Shipment Data'!$G$2:$G$241)/SUMIF('Shipment Data'!$D$2:$D$241,A6,'Shipment Data'!$F$2:$F$241)</x:f>
        <x:v>0.9290322580645162</x:v>
      </x:c>
      <x:c r="E6" s="5" t="n">
        <x:f>1-SUMIF('Shipment Data'!$D$2:$D$241,A6,'Shipment Data'!$M$2:$M$241)/SUMIF('Shipment Data'!$D$2:$D$241,A6,'Shipment Data'!$G$2:$G$241)</x:f>
        <x:v>0.88125</x:v>
      </x:c>
      <x:c r="F6" s="6" t="n">
        <x:f>AVERAGEIF('Shipment Data'!$D$2:$D$241,A6,'Shipment Data'!$N$2:$N$241)</x:f>
        <x:v>1576</x:v>
      </x:c>
      <x:c r="G6" s="5" t="n">
        <x:f>0.40*C6+0.30*D6+0.20*E6+0.10*(1-MIN(F6/3000,1))</x:f>
        <x:v>0.6624263440860215</x:v>
      </x:c>
    </x:row>
    <x:row r="7">
      <x:c r="A7" t="str">
        <x:v>Supplier F</x:v>
      </x:c>
      <x:c r="B7" t="n">
        <x:f>COUNTIF('Shipment Data'!$D$2:$D$241,A7)</x:f>
        <x:v>20</x:v>
      </x:c>
      <x:c r="C7" s="5" t="n">
        <x:f>COUNTIFS('Shipment Data'!$D$2:$D$241,A7,'Shipment Data'!$K$2:$K$241,"Yes")/B7</x:f>
        <x:v>0.4</x:v>
      </x:c>
      <x:c r="D7" s="5" t="n">
        <x:f>SUMIF('Shipment Data'!$D$2:$D$241,A7,'Shipment Data'!$G$2:$G$241)/SUMIF('Shipment Data'!$D$2:$D$241,A7,'Shipment Data'!$F$2:$F$241)</x:f>
        <x:v>0.9118773946360154</x:v>
      </x:c>
      <x:c r="E7" s="5" t="n">
        <x:f>1-SUMIF('Shipment Data'!$D$2:$D$241,A7,'Shipment Data'!$M$2:$M$241)/SUMIF('Shipment Data'!$D$2:$D$241,A7,'Shipment Data'!$G$2:$G$241)</x:f>
        <x:v>0.8352941176470589</x:v>
      </x:c>
      <x:c r="F7" s="6" t="n">
        <x:f>AVERAGEIF('Shipment Data'!$D$2:$D$241,A7,'Shipment Data'!$N$2:$N$241)</x:f>
        <x:v>1645</x:v>
      </x:c>
      <x:c r="G7" s="5" t="n">
        <x:f>0.40*C7+0.30*D7+0.20*E7+0.10*(1-MIN(F7/3000,1))</x:f>
        <x:v>0.6457887085868831</x:v>
      </x:c>
    </x:row>
    <x:row r="8">
      <x:c r="A8" t="str">
        <x:v>Supplier G</x:v>
      </x:c>
      <x:c r="B8" t="n">
        <x:f>COUNTIF('Shipment Data'!$D$2:$D$241,A8)</x:f>
        <x:v>20</x:v>
      </x:c>
      <x:c r="C8" s="5" t="n">
        <x:f>COUNTIFS('Shipment Data'!$D$2:$D$241,A8,'Shipment Data'!$K$2:$K$241,"Yes")/B8</x:f>
        <x:v>0.45</x:v>
      </x:c>
      <x:c r="D8" s="5" t="n">
        <x:f>SUMIF('Shipment Data'!$D$2:$D$241,A8,'Shipment Data'!$G$2:$G$241)/SUMIF('Shipment Data'!$D$2:$D$241,A8,'Shipment Data'!$F$2:$F$241)</x:f>
        <x:v>0.919732441471572</x:v>
      </x:c>
      <x:c r="E8" s="5" t="n">
        <x:f>1-SUMIF('Shipment Data'!$D$2:$D$241,A8,'Shipment Data'!$M$2:$M$241)/SUMIF('Shipment Data'!$D$2:$D$241,A8,'Shipment Data'!$G$2:$G$241)</x:f>
        <x:v>0.8669090909090909</x:v>
      </x:c>
      <x:c r="F8" s="6" t="n">
        <x:f>AVERAGEIF('Shipment Data'!$D$2:$D$241,A8,'Shipment Data'!$N$2:$N$241)</x:f>
        <x:v>1670</x:v>
      </x:c>
      <x:c r="G8" s="5" t="n">
        <x:f>0.40*C8+0.30*D8+0.20*E8+0.10*(1-MIN(F8/3000,1))</x:f>
        <x:v>0.6736348839566231</x:v>
      </x:c>
    </x:row>
    <x:row r="9">
      <x:c r="A9" t="str">
        <x:v>Supplier H</x:v>
      </x:c>
      <x:c r="B9" t="n">
        <x:f>COUNTIF('Shipment Data'!$D$2:$D$241,A9)</x:f>
        <x:v>20</x:v>
      </x:c>
      <x:c r="C9" s="5" t="n">
        <x:f>COUNTIFS('Shipment Data'!$D$2:$D$241,A9,'Shipment Data'!$K$2:$K$241,"Yes")/B9</x:f>
        <x:v>0.45</x:v>
      </x:c>
      <x:c r="D9" s="5" t="n">
        <x:f>SUMIF('Shipment Data'!$D$2:$D$241,A9,'Shipment Data'!$G$2:$G$241)/SUMIF('Shipment Data'!$D$2:$D$241,A9,'Shipment Data'!$F$2:$F$241)</x:f>
        <x:v>0.9152542372881356</x:v>
      </x:c>
      <x:c r="E9" s="5" t="n">
        <x:f>1-SUMIF('Shipment Data'!$D$2:$D$241,A9,'Shipment Data'!$M$2:$M$241)/SUMIF('Shipment Data'!$D$2:$D$241,A9,'Shipment Data'!$G$2:$G$241)</x:f>
        <x:v>0.8662962962962963</x:v>
      </x:c>
      <x:c r="F9" s="6" t="n">
        <x:f>AVERAGEIF('Shipment Data'!$D$2:$D$241,A9,'Shipment Data'!$N$2:$N$241)</x:f>
        <x:v>1695</x:v>
      </x:c>
      <x:c r="G9" s="5" t="n">
        <x:f>0.40*C9+0.30*D9+0.20*E9+0.10*(1-MIN(F9/3000,1))</x:f>
        <x:v>0.6713355304456999</x:v>
      </x:c>
    </x:row>
    <x:row r="10">
      <x:c r="A10" t="str">
        <x:v>Supplier I</x:v>
      </x:c>
      <x:c r="B10" t="n">
        <x:f>COUNTIF('Shipment Data'!$D$2:$D$241,A10)</x:f>
        <x:v>20</x:v>
      </x:c>
      <x:c r="C10" s="5" t="n">
        <x:f>COUNTIFS('Shipment Data'!$D$2:$D$241,A10,'Shipment Data'!$K$2:$K$241,"Yes")/B10</x:f>
        <x:v>0.45</x:v>
      </x:c>
      <x:c r="D10" s="5" t="n">
        <x:f>SUMIF('Shipment Data'!$D$2:$D$241,A10,'Shipment Data'!$G$2:$G$241)/SUMIF('Shipment Data'!$D$2:$D$241,A10,'Shipment Data'!$F$2:$F$241)</x:f>
        <x:v>0.9097222222222222</x:v>
      </x:c>
      <x:c r="E10" s="5" t="n">
        <x:f>1-SUMIF('Shipment Data'!$D$2:$D$241,A10,'Shipment Data'!$M$2:$M$241)/SUMIF('Shipment Data'!$D$2:$D$241,A10,'Shipment Data'!$G$2:$G$241)</x:f>
        <x:v>0.8637404580152672</x:v>
      </x:c>
      <x:c r="F10" s="6" t="n">
        <x:f>AVERAGEIF('Shipment Data'!$D$2:$D$241,A10,'Shipment Data'!$N$2:$N$241)</x:f>
        <x:v>1634</x:v>
      </x:c>
      <x:c r="G10" s="5" t="n">
        <x:f>0.40*C10+0.30*D10+0.20*E10+0.10*(1-MIN(F10/3000,1))</x:f>
        <x:v>0.6711980916030534</x:v>
      </x:c>
    </x:row>
    <x:row r="11">
      <x:c r="A11" t="str">
        <x:v>Supplier J</x:v>
      </x:c>
      <x:c r="B11" t="n">
        <x:f>COUNTIF('Shipment Data'!$D$2:$D$241,A11)</x:f>
        <x:v>20</x:v>
      </x:c>
      <x:c r="C11" s="5" t="n">
        <x:f>COUNTIFS('Shipment Data'!$D$2:$D$241,A11,'Shipment Data'!$K$2:$K$241,"Yes")/B11</x:f>
        <x:v>0.45</x:v>
      </x:c>
      <x:c r="D11" s="5" t="n">
        <x:f>SUMIF('Shipment Data'!$D$2:$D$241,A11,'Shipment Data'!$G$2:$G$241)/SUMIF('Shipment Data'!$D$2:$D$241,A11,'Shipment Data'!$F$2:$F$241)</x:f>
        <x:v>0.9114754098360656</x:v>
      </x:c>
      <x:c r="E11" s="5" t="n">
        <x:f>1-SUMIF('Shipment Data'!$D$2:$D$241,A11,'Shipment Data'!$M$2:$M$241)/SUMIF('Shipment Data'!$D$2:$D$241,A11,'Shipment Data'!$G$2:$G$241)</x:f>
        <x:v>0.8607913669064748</x:v>
      </x:c>
      <x:c r="F11" s="6" t="n">
        <x:f>AVERAGEIF('Shipment Data'!$D$2:$D$241,A11,'Shipment Data'!$N$2:$N$241)</x:f>
        <x:v>1659</x:v>
      </x:c>
      <x:c r="G11" s="5" t="n">
        <x:f>0.40*C11+0.30*D11+0.20*E11+0.10*(1-MIN(F11/3000,1))</x:f>
        <x:v>0.6703008963321146</x:v>
      </x:c>
    </x:row>
    <x:row r="12">
      <x:c r="A12" t="str">
        <x:v>Supplier K</x:v>
      </x:c>
      <x:c r="B12" t="n">
        <x:f>COUNTIF('Shipment Data'!$D$2:$D$241,A12)</x:f>
        <x:v>20</x:v>
      </x:c>
      <x:c r="C12" s="5" t="n">
        <x:f>COUNTIFS('Shipment Data'!$D$2:$D$241,A12,'Shipment Data'!$K$2:$K$241,"Yes")/B12</x:f>
        <x:v>0.4</x:v>
      </x:c>
      <x:c r="D12" s="5" t="n">
        <x:f>SUMIF('Shipment Data'!$D$2:$D$241,A12,'Shipment Data'!$G$2:$G$241)/SUMIF('Shipment Data'!$D$2:$D$241,A12,'Shipment Data'!$F$2:$F$241)</x:f>
        <x:v>0.8989169675090253</x:v>
      </x:c>
      <x:c r="E12" s="5" t="n">
        <x:f>1-SUMIF('Shipment Data'!$D$2:$D$241,A12,'Shipment Data'!$M$2:$M$241)/SUMIF('Shipment Data'!$D$2:$D$241,A12,'Shipment Data'!$G$2:$G$241)</x:f>
        <x:v>0.846987951807229</x:v>
      </x:c>
      <x:c r="F12" s="6" t="n">
        <x:f>AVERAGEIF('Shipment Data'!$D$2:$D$241,A12,'Shipment Data'!$N$2:$N$241)</x:f>
        <x:v>1728</x:v>
      </x:c>
      <x:c r="G12" s="5" t="n">
        <x:f>0.40*C12+0.30*D12+0.20*E12+0.10*(1-MIN(F12/3000,1))</x:f>
        <x:v>0.6414726806141534</x:v>
      </x:c>
    </x:row>
    <x:row r="13">
      <x:c r="A13" t="str">
        <x:v>Supplier L</x:v>
      </x:c>
      <x:c r="B13" t="n">
        <x:f>COUNTIF('Shipment Data'!$D$2:$D$241,A13)</x:f>
        <x:v>20</x:v>
      </x:c>
      <x:c r="C13" s="5" t="n">
        <x:f>COUNTIFS('Shipment Data'!$D$2:$D$241,A13,'Shipment Data'!$K$2:$K$241,"Yes")/B13</x:f>
        <x:v>0.4</x:v>
      </x:c>
      <x:c r="D13" s="5" t="n">
        <x:f>SUMIF('Shipment Data'!$D$2:$D$241,A13,'Shipment Data'!$G$2:$G$241)/SUMIF('Shipment Data'!$D$2:$D$241,A13,'Shipment Data'!$F$2:$F$241)</x:f>
        <x:v>0.9013605442176871</x:v>
      </x:c>
      <x:c r="E13" s="5" t="n">
        <x:f>1-SUMIF('Shipment Data'!$D$2:$D$241,A13,'Shipment Data'!$M$2:$M$241)/SUMIF('Shipment Data'!$D$2:$D$241,A13,'Shipment Data'!$G$2:$G$241)</x:f>
        <x:v>0.8467924528301887</x:v>
      </x:c>
      <x:c r="F13" s="6" t="n">
        <x:f>AVERAGEIF('Shipment Data'!$D$2:$D$241,A13,'Shipment Data'!$N$2:$N$241)</x:f>
        <x:v>1753</x:v>
      </x:c>
      <x:c r="G13" s="5" t="n">
        <x:f>0.40*C13+0.30*D13+0.20*E13+0.10*(1-MIN(F13/3000,1))</x:f>
        <x:v>0.6413333204980105</x:v>
      </x:c>
    </x:row>
  </x:sheetData>
  <x:conditionalFormatting sqref="G2:G13">
    <x:cfRule type="colorScale" priority="1">
      <x:colorScale>
        <x:cfvo type="min"/>
        <x:cfvo type="percentile" val="50"/>
        <x:cfvo type="max"/>
        <x:color rgb="FFE15759"/>
        <x:color rgb="FFEDC948"/>
        <x:color rgb="FF59A14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2eeac52e89840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56" hidden="0" customWidth="1"/>
  </x:cols>
  <x:sheetData>
    <x:row r="1" ht="42" customHeight="1">
      <x:c r="A1" s="2" t="str">
        <x:v>KPI</x:v>
      </x:c>
      <x:c r="B1" s="9" t="str">
        <x:v>Business Definition</x:v>
      </x:c>
      <x:c r="C1" s="9" t="str">
        <x:v>Calculation</x:v>
      </x:c>
    </x:row>
    <x:row r="2" ht="42" customHeight="1">
      <x:c r="A2" t="str">
        <x:v>On-Time Delivery</x:v>
      </x:c>
      <x:c r="B2" t="str">
        <x:v>Shipments delivered within planned transit days</x:v>
      </x:c>
      <x:c r="C2" t="str">
        <x:v>COUNT(on-time shipments) / total shipments</x:v>
      </x:c>
    </x:row>
    <x:row r="3" ht="42" customHeight="1">
      <x:c r="A3" t="str">
        <x:v>Fill Rate</x:v>
      </x:c>
      <x:c r="B3" t="str">
        <x:v>Delivered units as a percentage of ordered units</x:v>
      </x:c>
      <x:c r="C3" t="str">
        <x:v>SUM(delivered units) / SUM(ordered units)</x:v>
      </x:c>
    </x:row>
    <x:row r="4" ht="42" customHeight="1">
      <x:c r="A4" t="str">
        <x:v>Forecast Accuracy</x:v>
      </x:c>
      <x:c r="B4" t="str">
        <x:v>One minus absolute forecast error divided by delivered demand</x:v>
      </x:c>
      <x:c r="C4" t="str">
        <x:v>1 - SUM(abs error) / SUM(delivered units)</x:v>
      </x:c>
    </x:row>
    <x:row r="5" ht="42" customHeight="1">
      <x:c r="A5" t="str">
        <x:v>Inventory at Risk</x:v>
      </x:c>
      <x:c r="B5" t="str">
        <x:v>Inventory value where on-hand is below scenario reorder point</x:v>
      </x:c>
      <x:c r="C5" t="str">
        <x:v>SUM(at-risk inventory value)</x:v>
      </x:c>
    </x:row>
    <x:row r="6" ht="42" customHeight="1">
      <x:c r="A6" t="str">
        <x:v>Reorder Point</x:v>
      </x:c>
      <x:c r="B6" t="str">
        <x:v>Demand during lead time adjusted by the selected safety-stock factor</x:v>
      </x:c>
      <x:c r="C6" t="str">
        <x:v>Avg daily demand × lead time × scenario factor</x:v>
      </x:c>
    </x:row>
    <x:row r="7" ht="42" customHeight="1">
      <x:c r="A7" t="str">
        <x:v>Supplier Composite Score</x:v>
      </x:c>
      <x:c r="B7" t="str">
        <x:v>Weighted service, fill, forecast, and freight score</x:v>
      </x:c>
      <x:c r="C7" t="str">
        <x:v>40% OTD + 30% fill + 20% forecast + 10% freight efficiency</x:v>
      </x:c>
    </x:row>
  </x:sheetData>
  <x:pageMargins left="0.7" right="0.7" top="0.75" bottom="0.75" header="0.3" footer="0.3"/>
</x:worksheet>
</file>