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ac81e7df0a44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599d097db454350"/>
    <x:sheet xmlns:r="http://schemas.openxmlformats.org/officeDocument/2006/relationships" name="Data" sheetId="2" r:id="R0806a6eb2f5d42b4"/>
    <x:sheet xmlns:r="http://schemas.openxmlformats.org/officeDocument/2006/relationships" name="KPI Definitions" sheetId="3" r:id="Rd0a271c6017244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0"/>
    <x:numFmt numFmtId="201" formatCode="General"/>
    <x:numFmt numFmtId="202" formatCode="0.0%"/>
  </x:numFmts>
  <x:fonts count="7">
    <x:font>
      <x:sz val="11"/>
      <x:name val="Carlito"/>
    </x:font>
    <x:font>
      <x:sz val="11"/>
      <x:color rgb="FF243447"/>
      <x:name val="Aptos"/>
    </x:font>
    <x:font>
      <x:b/>
      <x:sz val="22"/>
      <x:color rgb="FFFFFFFF"/>
      <x:name val="Aptos"/>
    </x:font>
    <x:font>
      <x:i/>
      <x:sz val="10"/>
      <x:color rgb="FF243447"/>
      <x:name val="Aptos"/>
    </x:font>
    <x:font>
      <x:b/>
      <x:sz val="11"/>
      <x:color rgb="FFFFFFFF"/>
      <x:name val="Carlito"/>
    </x:font>
    <x:font>
      <x:b/>
      <x:sz val="16"/>
      <x:color rgb="FFFFFFFF"/>
      <x:name val="Aptos"/>
    </x:font>
    <x:font>
      <x:b/>
      <x:sz val="12"/>
      <x:color rgb="FF15324B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5324B"/>
      </x:patternFill>
    </x:fill>
    <x:fill>
      <x:patternFill patternType="solid">
        <x:fgColor rgb="FFDCEAF3"/>
      </x:patternFill>
    </x:fill>
    <x:fill>
      <x:patternFill patternType="solid">
        <x:fgColor rgb="FF4C78A8"/>
      </x:patternFill>
    </x:fill>
    <x:fill>
      <x:patternFill patternType="solid">
        <x:fgColor rgb="FFE15759"/>
      </x:patternFill>
    </x:fill>
    <x:fill>
      <x:patternFill patternType="solid">
        <x:fgColor rgb="FF19A7A0"/>
      </x:patternFill>
    </x:fill>
    <x:fill>
      <x:patternFill patternType="solid">
        <x:fgColor rgb="FFF28E2B"/>
      </x:patternFill>
    </x:fill>
    <x:fill>
      <x:patternFill patternType="solid">
        <x:fgColor rgb="FFF3F6F9"/>
      </x:patternFill>
    </x:fill>
  </x:fills>
  <x:borders count="10">
    <x:border/>
    <x:border>
      <x:left style="thin">
        <x:color rgb="FFFFFFFF"/>
      </x:left>
      <x:top style="thin">
        <x:color rgb="FFFFFFFF"/>
      </x:top>
    </x:border>
    <x:border>
      <x:top style="thin">
        <x:color rgb="FFFFFFFF"/>
      </x:top>
    </x:border>
    <x:border>
      <x:right style="thin">
        <x:color rgb="FFFFFFFF"/>
      </x:right>
      <x:top style="thin">
        <x:color rgb="FFFFFFFF"/>
      </x:top>
    </x:border>
    <x:border>
      <x:left style="thin">
        <x:color rgb="FFFFFFFF"/>
      </x:left>
    </x:border>
    <x:border>
      <x:right style="thin">
        <x:color rgb="FFFFFFFF"/>
      </x:right>
    </x:border>
    <x:border>
      <x:left style="thin">
        <x:color rgb="FFFFFFFF"/>
      </x:left>
      <x:bottom style="thin">
        <x:color rgb="FFFFFFFF"/>
      </x:bottom>
    </x:border>
    <x:border>
      <x:bottom style="thin">
        <x:color rgb="FFFFFFFF"/>
      </x:bottom>
    </x:border>
    <x:border>
      <x:right style="thin">
        <x:color rgb="FFFFFFFF"/>
      </x:right>
      <x:bottom style="thin">
        <x:color rgb="FFFFFFFF"/>
      </x:bottom>
    </x:border>
    <x:border>
      <x:bottom style="double">
        <x:color rgb="FF9CB3C5"/>
      </x:bottom>
    </x:border>
  </x:borders>
  <x:cellStyleXfs count="1">
    <x:xf numFmtId="0" fontId="0" fillId="0" borderId="0"/>
  </x:cellStyleXfs>
  <x:cellXfs count="20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2" xfId="0" applyNumberFormat="1" applyFont="1" applyFill="1" applyBorder="1"/>
    <x:xf numFmtId="0" fontId="5" fillId="4" borderId="3" xfId="0" applyNumberFormat="1" applyFont="1" applyFill="1" applyBorder="1"/>
    <x:xf numFmtId="0" fontId="5" fillId="4" borderId="4" xfId="0" applyNumberFormat="1" applyFont="1" applyFill="1" applyBorder="1"/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0" fontId="5" fillId="4" borderId="7" xfId="0" applyNumberFormat="1" applyFont="1" applyFill="1" applyBorder="1"/>
    <x:xf numFmtId="0" fontId="5" fillId="4" borderId="8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5" fillId="4" borderId="5" xfId="0" applyNumberFormat="1" applyFont="1" applyFill="1" applyBorder="1" applyAlignment="1">
      <x:alignment wrapText="1"/>
    </x:xf>
    <x:xf numFmtId="0" fontId="5" fillId="4" borderId="6" xfId="0" applyNumberFormat="1" applyFont="1" applyFill="1" applyBorder="1" applyAlignment="1">
      <x:alignment wrapText="1"/>
    </x:xf>
    <x:xf numFmtId="0" fontId="5" fillId="4" borderId="7" xfId="0" applyNumberFormat="1" applyFont="1" applyFill="1" applyBorder="1" applyAlignment="1">
      <x:alignment wrapText="1"/>
    </x:xf>
    <x:xf numFmtId="0" fontId="5" fillId="4" borderId="8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2" xfId="0" applyNumberFormat="1" applyFont="1" applyFill="1" applyBorder="1" applyAlignment="1">
      <x:alignment horizontal="center" wrapText="1"/>
    </x:xf>
    <x:xf numFmtId="0" fontId="5" fillId="4" borderId="3" xfId="0" applyNumberFormat="1" applyFont="1" applyFill="1" applyBorder="1" applyAlignment="1">
      <x:alignment horizontal="center" wrapText="1"/>
    </x:xf>
    <x:xf numFmtId="0" fontId="5" fillId="4" borderId="4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5" xfId="0" applyNumberFormat="1" applyFont="1" applyFill="1" applyBorder="1" applyAlignment="1">
      <x:alignment horizontal="center" wrapText="1"/>
    </x:xf>
    <x:xf numFmtId="0" fontId="5" fillId="4" borderId="6" xfId="0" applyNumberFormat="1" applyFont="1" applyFill="1" applyBorder="1" applyAlignment="1">
      <x:alignment horizontal="center" wrapText="1"/>
    </x:xf>
    <x:xf numFmtId="0" fontId="5" fillId="4" borderId="7" xfId="0" applyNumberFormat="1" applyFont="1" applyFill="1" applyBorder="1" applyAlignment="1">
      <x:alignment horizontal="center" wrapText="1"/>
    </x:xf>
    <x:xf numFmtId="0" fontId="5" fillId="4" borderId="8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5" xfId="0" applyNumberFormat="1" applyFont="1" applyFill="1" applyBorder="1" applyAlignment="1">
      <x:alignment horizontal="center" vertical="center" wrapText="1"/>
    </x:xf>
    <x:xf numFmtId="0" fontId="5" fillId="4" borderId="6" xfId="0" applyNumberFormat="1" applyFont="1" applyFill="1" applyBorder="1" applyAlignment="1">
      <x:alignment horizontal="center" vertical="center" wrapText="1"/>
    </x:xf>
    <x:xf numFmtId="0" fontId="5" fillId="4" borderId="7" xfId="0" applyNumberFormat="1" applyFont="1" applyFill="1" applyBorder="1" applyAlignment="1">
      <x:alignment horizontal="center" vertical="center" wrapText="1"/>
    </x:xf>
    <x:xf numFmtId="0" fontId="5" fillId="4" borderId="8" xfId="0" applyNumberFormat="1" applyFont="1" applyFill="1" applyBorder="1" applyAlignment="1">
      <x:alignment horizontal="center" vertical="center" wrapText="1"/>
    </x:xf>
    <x:xf numFmtId="201" fontId="5" fillId="4" borderId="1" xfId="0" applyNumberFormat="1" applyFont="1" applyFill="1" applyBorder="1" applyAlignment="1">
      <x:alignment horizontal="center" vertical="center" wrapText="1"/>
    </x:xf>
    <x:xf numFmtId="201" fontId="5" fillId="4" borderId="2" xfId="0" applyNumberFormat="1" applyFont="1" applyFill="1" applyBorder="1" applyAlignment="1">
      <x:alignment horizontal="center" vertical="center" wrapText="1"/>
    </x:xf>
    <x:xf numFmtId="201" fontId="5" fillId="4" borderId="3" xfId="0" applyNumberFormat="1" applyFont="1" applyFill="1" applyBorder="1" applyAlignment="1">
      <x:alignment horizontal="center" vertical="center" wrapText="1"/>
    </x:xf>
    <x:xf numFmtId="201" fontId="5" fillId="4" borderId="4" xfId="0" applyNumberFormat="1" applyFont="1" applyFill="1" applyBorder="1" applyAlignment="1">
      <x:alignment horizontal="center" vertical="center" wrapText="1"/>
    </x:xf>
    <x:xf numFmtId="201" fontId="5" fillId="4" borderId="0" xfId="0" applyNumberFormat="1" applyFont="1" applyFill="1" applyBorder="1" applyAlignment="1">
      <x:alignment horizontal="center" vertical="center" wrapText="1"/>
    </x:xf>
    <x:xf numFmtId="201" fontId="5" fillId="4" borderId="5" xfId="0" applyNumberFormat="1" applyFont="1" applyFill="1" applyBorder="1" applyAlignment="1">
      <x:alignment horizontal="center" vertical="center" wrapText="1"/>
    </x:xf>
    <x:xf numFmtId="201" fontId="5" fillId="4" borderId="6" xfId="0" applyNumberFormat="1" applyFont="1" applyFill="1" applyBorder="1" applyAlignment="1">
      <x:alignment horizontal="center" vertical="center" wrapText="1"/>
    </x:xf>
    <x:xf numFmtId="201" fontId="5" fillId="4" borderId="7" xfId="0" applyNumberFormat="1" applyFont="1" applyFill="1" applyBorder="1" applyAlignment="1">
      <x:alignment horizontal="center" vertical="center" wrapText="1"/>
    </x:xf>
    <x:xf numFmtId="201" fontId="5" fillId="4" borderId="8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2" xfId="0" applyNumberFormat="1" applyFont="1" applyFill="1" applyBorder="1" applyAlignment="1">
      <x:alignment horizontal="center" wrapText="1"/>
    </x:xf>
    <x:xf numFmtId="0" fontId="5" fillId="5" borderId="3" xfId="0" applyNumberFormat="1" applyFont="1" applyFill="1" applyBorder="1" applyAlignment="1">
      <x:alignment horizontal="center" wrapText="1"/>
    </x:xf>
    <x:xf numFmtId="0" fontId="5" fillId="5" borderId="4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5" xfId="0" applyNumberFormat="1" applyFont="1" applyFill="1" applyBorder="1" applyAlignment="1">
      <x:alignment horizontal="center" wrapText="1"/>
    </x:xf>
    <x:xf numFmtId="0" fontId="5" fillId="5" borderId="6" xfId="0" applyNumberFormat="1" applyFont="1" applyFill="1" applyBorder="1" applyAlignment="1">
      <x:alignment horizontal="center" wrapText="1"/>
    </x:xf>
    <x:xf numFmtId="0" fontId="5" fillId="5" borderId="7" xfId="0" applyNumberFormat="1" applyFont="1" applyFill="1" applyBorder="1" applyAlignment="1">
      <x:alignment horizontal="center" wrapText="1"/>
    </x:xf>
    <x:xf numFmtId="0" fontId="5" fillId="5" borderId="8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5" fillId="5" borderId="5" xfId="0" applyNumberFormat="1" applyFont="1" applyFill="1" applyBorder="1" applyAlignment="1">
      <x:alignment horizontal="center" vertical="center" wrapText="1"/>
    </x:xf>
    <x:xf numFmtId="0" fontId="5" fillId="5" borderId="6" xfId="0" applyNumberFormat="1" applyFont="1" applyFill="1" applyBorder="1" applyAlignment="1">
      <x:alignment horizontal="center" vertical="center" wrapText="1"/>
    </x:xf>
    <x:xf numFmtId="0" fontId="5" fillId="5" borderId="7" xfId="0" applyNumberFormat="1" applyFont="1" applyFill="1" applyBorder="1" applyAlignment="1">
      <x:alignment horizontal="center" vertical="center" wrapText="1"/>
    </x:xf>
    <x:xf numFmtId="0" fontId="5" fillId="5" borderId="8" xfId="0" applyNumberFormat="1" applyFont="1" applyFill="1" applyBorder="1" applyAlignment="1">
      <x:alignment horizontal="center" vertical="center" wrapText="1"/>
    </x:xf>
    <x:xf numFmtId="201" fontId="5" fillId="5" borderId="1" xfId="0" applyNumberFormat="1" applyFont="1" applyFill="1" applyBorder="1" applyAlignment="1">
      <x:alignment horizontal="center" vertical="center" wrapText="1"/>
    </x:xf>
    <x:xf numFmtId="201" fontId="5" fillId="5" borderId="2" xfId="0" applyNumberFormat="1" applyFont="1" applyFill="1" applyBorder="1" applyAlignment="1">
      <x:alignment horizontal="center" vertical="center" wrapText="1"/>
    </x:xf>
    <x:xf numFmtId="201" fontId="5" fillId="5" borderId="3" xfId="0" applyNumberFormat="1" applyFont="1" applyFill="1" applyBorder="1" applyAlignment="1">
      <x:alignment horizontal="center" vertical="center" wrapText="1"/>
    </x:xf>
    <x:xf numFmtId="201" fontId="5" fillId="5" borderId="4" xfId="0" applyNumberFormat="1" applyFont="1" applyFill="1" applyBorder="1" applyAlignment="1">
      <x:alignment horizontal="center" vertical="center" wrapText="1"/>
    </x:xf>
    <x:xf numFmtId="201" fontId="5" fillId="5" borderId="0" xfId="0" applyNumberFormat="1" applyFont="1" applyFill="1" applyBorder="1" applyAlignment="1">
      <x:alignment horizontal="center" vertical="center" wrapText="1"/>
    </x:xf>
    <x:xf numFmtId="201" fontId="5" fillId="5" borderId="5" xfId="0" applyNumberFormat="1" applyFont="1" applyFill="1" applyBorder="1" applyAlignment="1">
      <x:alignment horizontal="center" vertical="center" wrapText="1"/>
    </x:xf>
    <x:xf numFmtId="201" fontId="5" fillId="5" borderId="6" xfId="0" applyNumberFormat="1" applyFont="1" applyFill="1" applyBorder="1" applyAlignment="1">
      <x:alignment horizontal="center" vertical="center" wrapText="1"/>
    </x:xf>
    <x:xf numFmtId="201" fontId="5" fillId="5" borderId="7" xfId="0" applyNumberFormat="1" applyFont="1" applyFill="1" applyBorder="1" applyAlignment="1">
      <x:alignment horizontal="center" vertical="center" wrapText="1"/>
    </x:xf>
    <x:xf numFmtId="201" fontId="5" fillId="5" borderId="8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2" xfId="0" applyNumberFormat="1" applyFont="1" applyFill="1" applyBorder="1" applyAlignment="1">
      <x:alignment horizontal="center" wrapText="1"/>
    </x:xf>
    <x:xf numFmtId="0" fontId="5" fillId="6" borderId="3" xfId="0" applyNumberFormat="1" applyFont="1" applyFill="1" applyBorder="1" applyAlignment="1">
      <x:alignment horizontal="center" wrapText="1"/>
    </x:xf>
    <x:xf numFmtId="0" fontId="5" fillId="6" borderId="4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5" xfId="0" applyNumberFormat="1" applyFont="1" applyFill="1" applyBorder="1" applyAlignment="1">
      <x:alignment horizontal="center" wrapText="1"/>
    </x:xf>
    <x:xf numFmtId="0" fontId="5" fillId="6" borderId="6" xfId="0" applyNumberFormat="1" applyFont="1" applyFill="1" applyBorder="1" applyAlignment="1">
      <x:alignment horizontal="center" wrapText="1"/>
    </x:xf>
    <x:xf numFmtId="0" fontId="5" fillId="6" borderId="7" xfId="0" applyNumberFormat="1" applyFont="1" applyFill="1" applyBorder="1" applyAlignment="1">
      <x:alignment horizontal="center" wrapText="1"/>
    </x:xf>
    <x:xf numFmtId="0" fontId="5" fillId="6" borderId="8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5" fillId="6" borderId="2" xfId="0" applyNumberFormat="1" applyFont="1" applyFill="1" applyBorder="1" applyAlignment="1">
      <x:alignment horizontal="center" vertical="center" wrapText="1"/>
    </x:xf>
    <x:xf numFmtId="0" fontId="5" fillId="6" borderId="3" xfId="0" applyNumberFormat="1" applyFont="1" applyFill="1" applyBorder="1" applyAlignment="1">
      <x:alignment horizontal="center" vertical="center" wrapText="1"/>
    </x:xf>
    <x:xf numFmtId="0" fontId="5" fillId="6" borderId="4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5" xfId="0" applyNumberFormat="1" applyFont="1" applyFill="1" applyBorder="1" applyAlignment="1">
      <x:alignment horizontal="center" vertical="center" wrapText="1"/>
    </x:xf>
    <x:xf numFmtId="0" fontId="5" fillId="6" borderId="6" xfId="0" applyNumberFormat="1" applyFont="1" applyFill="1" applyBorder="1" applyAlignment="1">
      <x:alignment horizontal="center" vertical="center" wrapText="1"/>
    </x:xf>
    <x:xf numFmtId="0" fontId="5" fillId="6" borderId="7" xfId="0" applyNumberFormat="1" applyFont="1" applyFill="1" applyBorder="1" applyAlignment="1">
      <x:alignment horizontal="center" vertical="center" wrapText="1"/>
    </x:xf>
    <x:xf numFmtId="0" fontId="5" fillId="6" borderId="8" xfId="0" applyNumberFormat="1" applyFont="1" applyFill="1" applyBorder="1" applyAlignment="1">
      <x:alignment horizontal="center" vertical="center" wrapText="1"/>
    </x:xf>
    <x:xf numFmtId="201" fontId="5" fillId="6" borderId="1" xfId="0" applyNumberFormat="1" applyFont="1" applyFill="1" applyBorder="1" applyAlignment="1">
      <x:alignment horizontal="center" vertical="center" wrapText="1"/>
    </x:xf>
    <x:xf numFmtId="201" fontId="5" fillId="6" borderId="2" xfId="0" applyNumberFormat="1" applyFont="1" applyFill="1" applyBorder="1" applyAlignment="1">
      <x:alignment horizontal="center" vertical="center" wrapText="1"/>
    </x:xf>
    <x:xf numFmtId="201" fontId="5" fillId="6" borderId="3" xfId="0" applyNumberFormat="1" applyFont="1" applyFill="1" applyBorder="1" applyAlignment="1">
      <x:alignment horizontal="center" vertical="center" wrapText="1"/>
    </x:xf>
    <x:xf numFmtId="201" fontId="5" fillId="6" borderId="4" xfId="0" applyNumberFormat="1" applyFont="1" applyFill="1" applyBorder="1" applyAlignment="1">
      <x:alignment horizontal="center" vertical="center" wrapText="1"/>
    </x:xf>
    <x:xf numFmtId="201" fontId="5" fillId="6" borderId="0" xfId="0" applyNumberFormat="1" applyFont="1" applyFill="1" applyBorder="1" applyAlignment="1">
      <x:alignment horizontal="center" vertical="center" wrapText="1"/>
    </x:xf>
    <x:xf numFmtId="201" fontId="5" fillId="6" borderId="5" xfId="0" applyNumberFormat="1" applyFont="1" applyFill="1" applyBorder="1" applyAlignment="1">
      <x:alignment horizontal="center" vertical="center" wrapText="1"/>
    </x:xf>
    <x:xf numFmtId="201" fontId="5" fillId="6" borderId="6" xfId="0" applyNumberFormat="1" applyFont="1" applyFill="1" applyBorder="1" applyAlignment="1">
      <x:alignment horizontal="center" vertical="center" wrapText="1"/>
    </x:xf>
    <x:xf numFmtId="201" fontId="5" fillId="6" borderId="7" xfId="0" applyNumberFormat="1" applyFont="1" applyFill="1" applyBorder="1" applyAlignment="1">
      <x:alignment horizontal="center" vertical="center" wrapText="1"/>
    </x:xf>
    <x:xf numFmtId="201" fontId="5" fillId="6" borderId="8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5" fillId="7" borderId="2" xfId="0" applyNumberFormat="1" applyFont="1" applyFill="1" applyBorder="1"/>
    <x:xf numFmtId="0" fontId="5" fillId="7" borderId="3" xfId="0" applyNumberFormat="1" applyFont="1" applyFill="1" applyBorder="1"/>
    <x:xf numFmtId="0" fontId="5" fillId="7" borderId="4" xfId="0" applyNumberFormat="1" applyFont="1" applyFill="1" applyBorder="1"/>
    <x:xf numFmtId="0" fontId="5" fillId="7" borderId="5" xfId="0" applyNumberFormat="1" applyFont="1" applyFill="1" applyBorder="1"/>
    <x:xf numFmtId="0" fontId="5" fillId="7" borderId="6" xfId="0" applyNumberFormat="1" applyFont="1" applyFill="1" applyBorder="1"/>
    <x:xf numFmtId="0" fontId="5" fillId="7" borderId="7" xfId="0" applyNumberFormat="1" applyFont="1" applyFill="1" applyBorder="1"/>
    <x:xf numFmtId="0" fontId="5" fillId="7" borderId="8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5" fillId="7" borderId="2" xfId="0" applyNumberFormat="1" applyFont="1" applyFill="1" applyBorder="1" applyAlignment="1">
      <x:alignment wrapText="1"/>
    </x:xf>
    <x:xf numFmtId="0" fontId="5" fillId="7" borderId="3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  <x:xf numFmtId="0" fontId="5" fillId="7" borderId="5" xfId="0" applyNumberFormat="1" applyFont="1" applyFill="1" applyBorder="1" applyAlignment="1">
      <x:alignment wrapText="1"/>
    </x:xf>
    <x:xf numFmtId="0" fontId="5" fillId="7" borderId="6" xfId="0" applyNumberFormat="1" applyFont="1" applyFill="1" applyBorder="1" applyAlignment="1">
      <x:alignment wrapText="1"/>
    </x:xf>
    <x:xf numFmtId="0" fontId="5" fillId="7" borderId="7" xfId="0" applyNumberFormat="1" applyFont="1" applyFill="1" applyBorder="1" applyAlignment="1">
      <x:alignment wrapText="1"/>
    </x:xf>
    <x:xf numFmtId="0" fontId="5" fillId="7" borderId="8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horizontal="center" wrapText="1"/>
    </x:xf>
    <x:xf numFmtId="0" fontId="5" fillId="7" borderId="2" xfId="0" applyNumberFormat="1" applyFont="1" applyFill="1" applyBorder="1" applyAlignment="1">
      <x:alignment horizontal="center" wrapText="1"/>
    </x:xf>
    <x:xf numFmtId="0" fontId="5" fillId="7" borderId="3" xfId="0" applyNumberFormat="1" applyFont="1" applyFill="1" applyBorder="1" applyAlignment="1">
      <x:alignment horizontal="center" wrapText="1"/>
    </x:xf>
    <x:xf numFmtId="0" fontId="5" fillId="7" borderId="4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horizontal="center" wrapText="1"/>
    </x:xf>
    <x:xf numFmtId="0" fontId="5" fillId="7" borderId="5" xfId="0" applyNumberFormat="1" applyFont="1" applyFill="1" applyBorder="1" applyAlignment="1">
      <x:alignment horizontal="center" wrapText="1"/>
    </x:xf>
    <x:xf numFmtId="0" fontId="5" fillId="7" borderId="6" xfId="0" applyNumberFormat="1" applyFont="1" applyFill="1" applyBorder="1" applyAlignment="1">
      <x:alignment horizontal="center" wrapText="1"/>
    </x:xf>
    <x:xf numFmtId="0" fontId="5" fillId="7" borderId="7" xfId="0" applyNumberFormat="1" applyFont="1" applyFill="1" applyBorder="1" applyAlignment="1">
      <x:alignment horizontal="center" wrapText="1"/>
    </x:xf>
    <x:xf numFmtId="0" fontId="5" fillId="7" borderId="8" xfId="0" applyNumberFormat="1" applyFont="1" applyFill="1" applyBorder="1" applyAlignment="1">
      <x:alignment horizontal="center" wrapText="1"/>
    </x:xf>
    <x:xf numFmtId="0" fontId="5" fillId="7" borderId="1" xfId="0" applyNumberFormat="1" applyFont="1" applyFill="1" applyBorder="1" applyAlignment="1">
      <x:alignment horizontal="center" vertical="center" wrapText="1"/>
    </x:xf>
    <x:xf numFmtId="0" fontId="5" fillId="7" borderId="2" xfId="0" applyNumberFormat="1" applyFont="1" applyFill="1" applyBorder="1" applyAlignment="1">
      <x:alignment horizontal="center" vertical="center" wrapText="1"/>
    </x:xf>
    <x:xf numFmtId="0" fontId="5" fillId="7" borderId="3" xfId="0" applyNumberFormat="1" applyFont="1" applyFill="1" applyBorder="1" applyAlignment="1">
      <x:alignment horizontal="center" vertical="center" wrapText="1"/>
    </x:xf>
    <x:xf numFmtId="0" fontId="5" fillId="7" borderId="4" xfId="0" applyNumberFormat="1" applyFont="1" applyFill="1" applyBorder="1" applyAlignment="1">
      <x:alignment horizontal="center" vertic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5" fillId="7" borderId="5" xfId="0" applyNumberFormat="1" applyFont="1" applyFill="1" applyBorder="1" applyAlignment="1">
      <x:alignment horizontal="center" vertical="center" wrapText="1"/>
    </x:xf>
    <x:xf numFmtId="0" fontId="5" fillId="7" borderId="6" xfId="0" applyNumberFormat="1" applyFont="1" applyFill="1" applyBorder="1" applyAlignment="1">
      <x:alignment horizontal="center" vertical="center" wrapText="1"/>
    </x:xf>
    <x:xf numFmtId="0" fontId="5" fillId="7" borderId="7" xfId="0" applyNumberFormat="1" applyFont="1" applyFill="1" applyBorder="1" applyAlignment="1">
      <x:alignment horizontal="center" vertical="center" wrapText="1"/>
    </x:xf>
    <x:xf numFmtId="0" fontId="5" fillId="7" borderId="8" xfId="0" applyNumberFormat="1" applyFont="1" applyFill="1" applyBorder="1" applyAlignment="1">
      <x:alignment horizontal="center" vertical="center" wrapText="1"/>
    </x:xf>
    <x:xf numFmtId="201" fontId="5" fillId="7" borderId="1" xfId="0" applyNumberFormat="1" applyFont="1" applyFill="1" applyBorder="1" applyAlignment="1">
      <x:alignment horizontal="center" vertical="center" wrapText="1"/>
    </x:xf>
    <x:xf numFmtId="201" fontId="5" fillId="7" borderId="2" xfId="0" applyNumberFormat="1" applyFont="1" applyFill="1" applyBorder="1" applyAlignment="1">
      <x:alignment horizontal="center" vertical="center" wrapText="1"/>
    </x:xf>
    <x:xf numFmtId="201" fontId="5" fillId="7" borderId="3" xfId="0" applyNumberFormat="1" applyFont="1" applyFill="1" applyBorder="1" applyAlignment="1">
      <x:alignment horizontal="center" vertical="center" wrapText="1"/>
    </x:xf>
    <x:xf numFmtId="201" fontId="5" fillId="7" borderId="4" xfId="0" applyNumberFormat="1" applyFont="1" applyFill="1" applyBorder="1" applyAlignment="1">
      <x:alignment horizontal="center" vertical="center" wrapText="1"/>
    </x:xf>
    <x:xf numFmtId="201" fontId="5" fillId="7" borderId="0" xfId="0" applyNumberFormat="1" applyFont="1" applyFill="1" applyBorder="1" applyAlignment="1">
      <x:alignment horizontal="center" vertical="center" wrapText="1"/>
    </x:xf>
    <x:xf numFmtId="201" fontId="5" fillId="7" borderId="5" xfId="0" applyNumberFormat="1" applyFont="1" applyFill="1" applyBorder="1" applyAlignment="1">
      <x:alignment horizontal="center" vertical="center" wrapText="1"/>
    </x:xf>
    <x:xf numFmtId="201" fontId="5" fillId="7" borderId="6" xfId="0" applyNumberFormat="1" applyFont="1" applyFill="1" applyBorder="1" applyAlignment="1">
      <x:alignment horizontal="center" vertical="center" wrapText="1"/>
    </x:xf>
    <x:xf numFmtId="201" fontId="5" fillId="7" borderId="7" xfId="0" applyNumberFormat="1" applyFont="1" applyFill="1" applyBorder="1" applyAlignment="1">
      <x:alignment horizontal="center" vertical="center" wrapText="1"/>
    </x:xf>
    <x:xf numFmtId="201" fontId="5" fillId="7" borderId="8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9" xfId="0" applyNumberFormat="1" applyFont="1" applyFill="1" applyBorder="1"/>
    <x:xf numFmtId="202" fontId="1" fillId="0" borderId="0" xfId="0" applyNumberFormat="1" applyFont="1" applyFill="1" applyBorder="1"/>
    <x:xf numFmtId="202" fontId="0" fillId="0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33e270f97f427c" /><Relationship Type="http://schemas.openxmlformats.org/officeDocument/2006/relationships/theme" Target="/xl/theme/theme1.xml" Id="Raed054738c334dca" /><Relationship Type="http://schemas.openxmlformats.org/officeDocument/2006/relationships/sharedStrings" Target="/xl/sharedStrings.xml" Id="R2333a234ffdb46ec" /><Relationship Type="http://schemas.openxmlformats.org/officeDocument/2006/relationships/worksheet" Target="/xl/worksheets/sheet1.xml" Id="R1599d097db454350" /><Relationship Type="http://schemas.openxmlformats.org/officeDocument/2006/relationships/worksheet" Target="/xl/worksheets/sheet2.xml" Id="R0806a6eb2f5d42b4" /><Relationship Type="http://schemas.openxmlformats.org/officeDocument/2006/relationships/worksheet" Target="/xl/worksheets/sheet3.xml" Id="Rd0a271c6017244d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f16712a3e704871" /><Relationship Type="http://schemas.openxmlformats.org/officeDocument/2006/relationships/chart" Target="/xl/drawings/charts/chart2.xml" Id="R40c7f29e63be488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Churn Rate by Plan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Churn Rate</c:v>
          </c:tx>
          <c:cat>
            <c:strRef>
              <c:f>'Dashboard'!$B$27:$B$29</c:f>
              <c:strCache>
                <c:ptCount val="0"/>
              </c:strCache>
            </c:strRef>
          </c:cat>
          <c:val>
            <c:numRef>
              <c:f>'Dashboard'!$C$27:$C$29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Support Load Signals Churn Risk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Churn Rate</c:v>
          </c:tx>
          <c:marker>
            <c:symbol val="none"/>
          </c:marker>
          <c:cat>
            <c:strRef>
              <c:f>'Dashboard'!$H$27:$H$33</c:f>
              <c:strCache>
                <c:ptCount val="0"/>
              </c:strCache>
            </c:strRef>
          </c:cat>
          <c:val>
            <c:numRef>
              <c:f>'Dashboard'!$I$27:$I$33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10</xdr:row>
      <xdr:rowOff>0</xdr:rowOff>
    </xdr:from>
    <xdr:to>
      <xdr:col>7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f16712a3e704871"/>
        </a:graphicData>
      </a:graphic>
    </xdr:graphicFrame>
    <xdr:clientData/>
  </xdr:twoCellAnchor>
  <xdr:twoCellAnchor>
    <xdr:from>
      <xdr:col>7</xdr:col>
      <xdr:colOff>0</xdr:colOff>
      <xdr:row>10</xdr:row>
      <xdr:rowOff>0</xdr:rowOff>
    </xdr:from>
    <xdr:to>
      <xdr:col>13</xdr:col>
      <xdr:colOff>0</xdr:colOff>
      <xdr:row>23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0c7f29e63be488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lemrm2xy" displayName="Tablemrm2xy" ref="A1:H181" headerRowCount="1" totalsRowCount="0" totalsRowShown="0">
  <x:tableColumns count="8">
    <x:tableColumn id="1" name="Customer_ID"/>
    <x:tableColumn id="2" name="Tenure_Months"/>
    <x:tableColumn id="3" name="Plan"/>
    <x:tableColumn id="4" name="Region"/>
    <x:tableColumn id="5" name="Monthly_Charge"/>
    <x:tableColumn id="6" name="Support_Tickets"/>
    <x:tableColumn id="7" name="Satisfaction"/>
    <x:tableColumn id="8" name="Churn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d6c1a6b1c78461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9815a7c3bb24b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3" hidden="0" customWidth="1"/>
  </x:cols>
  <x:sheetData>
    <x:row r="1">
      <x:c r="A1" s="4" t="str">
        <x:v>Customer Churn Dashboard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>
      <x:c r="A3" s="6" t="str">
        <x:v>Retention risk, customer experience, and churn drivers | Synthetic portfolio data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1"/>
      <x:c r="B5" s="48" t="str">
        <x:f>"CUSTOMERS
"&amp;TEXT(COUNTA('Data'!A2:A181),"#,##0")</x:f>
        <x:v>CUSTOMERS
180</x:v>
      </x:c>
      <x:c r="C5" s="49"/>
      <x:c r="D5" s="50"/>
      <x:c r="E5" s="94" t="str">
        <x:f>"CHURN RATE
"&amp;TEXT(COUNTIF('Data'!H2:H181,"Yes")/COUNTA('Data'!A2:A181),"0.0%")</x:f>
        <x:v>CHURN RATE
20.0%</x:v>
      </x:c>
      <x:c r="F5" s="95"/>
      <x:c r="G5" s="96"/>
      <x:c r="H5" s="140" t="str">
        <x:f>"AVG TENURE
"&amp;TEXT(AVERAGE('Data'!B2:B181),"0.0")&amp;" mo"</x:f>
        <x:v>AVG TENURE
30.5 mo</x:v>
      </x:c>
      <x:c r="I5" s="141"/>
      <x:c r="J5" s="142"/>
      <x:c r="K5" s="186" t="str">
        <x:f>"SATISFACTION
"&amp;TEXT(AVERAGE('Data'!G2:G181),"0.0")&amp;" / 5"</x:f>
        <x:v>SATISFACTION
3.0 / 5</x:v>
      </x:c>
      <x:c r="L5" s="187"/>
      <x:c r="M5" s="188"/>
      <x:c r="N5" s="1"/>
    </x:row>
    <x:row r="6">
      <x:c r="A6" s="1"/>
      <x:c r="B6" s="51"/>
      <x:c r="C6" s="52"/>
      <x:c r="D6" s="53"/>
      <x:c r="E6" s="97"/>
      <x:c r="F6" s="98"/>
      <x:c r="G6" s="99"/>
      <x:c r="H6" s="143"/>
      <x:c r="I6" s="144"/>
      <x:c r="J6" s="145"/>
      <x:c r="K6" s="189"/>
      <x:c r="L6" s="190"/>
      <x:c r="M6" s="191"/>
      <x:c r="N6" s="1"/>
    </x:row>
    <x:row r="7">
      <x:c r="A7" s="1"/>
      <x:c r="B7" s="51"/>
      <x:c r="C7" s="52"/>
      <x:c r="D7" s="53"/>
      <x:c r="E7" s="97"/>
      <x:c r="F7" s="98"/>
      <x:c r="G7" s="99"/>
      <x:c r="H7" s="143"/>
      <x:c r="I7" s="144"/>
      <x:c r="J7" s="145"/>
      <x:c r="K7" s="189"/>
      <x:c r="L7" s="190"/>
      <x:c r="M7" s="191"/>
      <x:c r="N7" s="1"/>
    </x:row>
    <x:row r="8">
      <x:c r="A8" s="1"/>
      <x:c r="B8" s="54"/>
      <x:c r="C8" s="55"/>
      <x:c r="D8" s="56"/>
      <x:c r="E8" s="100"/>
      <x:c r="F8" s="101"/>
      <x:c r="G8" s="102"/>
      <x:c r="H8" s="146"/>
      <x:c r="I8" s="147"/>
      <x:c r="J8" s="148"/>
      <x:c r="K8" s="192"/>
      <x:c r="L8" s="193"/>
      <x:c r="M8" s="194"/>
      <x:c r="N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>
      <x:c r="A10" s="1"/>
      <x:c r="B10" s="197" t="str">
        <x:v>Churn Rate by Plan</x:v>
      </x:c>
      <x:c r="C10" s="197"/>
      <x:c r="D10" s="197"/>
      <x:c r="E10" s="197"/>
      <x:c r="F10" s="197"/>
      <x:c r="G10" s="197"/>
      <x:c r="H10" s="197" t="str">
        <x:v>Churn by Support Tickets</x:v>
      </x:c>
      <x:c r="I10" s="197"/>
      <x:c r="J10" s="197"/>
      <x:c r="K10" s="197"/>
      <x:c r="L10" s="197"/>
      <x:c r="M10" s="197"/>
      <x:c r="N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 t="str">
        <x:v>Plan</x:v>
      </x:c>
      <x:c r="C26" s="1" t="str">
        <x:v>Churn Rate</x:v>
      </x:c>
      <x:c r="D26" s="1"/>
      <x:c r="E26" s="1"/>
      <x:c r="F26" s="1"/>
      <x:c r="G26" s="1"/>
      <x:c r="H26" s="1" t="str">
        <x:v>Tickets</x:v>
      </x:c>
      <x:c r="I26" s="1" t="str">
        <x:v>Churn Rate</x:v>
      </x:c>
      <x:c r="J26" s="1"/>
      <x:c r="K26" s="1"/>
      <x:c r="L26" s="1"/>
      <x:c r="M26" s="1"/>
      <x:c r="N26" s="1"/>
    </x:row>
    <x:row r="27">
      <x:c r="A27" s="1"/>
      <x:c r="B27" s="1" t="str">
        <x:v>Basic</x:v>
      </x:c>
      <x:c r="C27" s="198" t="n">
        <x:f>COUNTIFS('Data'!$C$2:$C$181,B27,'Data'!$H$2:$H$181,"Yes")/COUNTIF('Data'!$C$2:$C$181,B27)</x:f>
        <x:v>0.45</x:v>
      </x:c>
      <x:c r="D27" s="1"/>
      <x:c r="E27" s="1"/>
      <x:c r="F27" s="1"/>
      <x:c r="G27" s="1"/>
      <x:c r="H27" s="1" t="n">
        <x:v>0</x:v>
      </x:c>
      <x:c r="I27" s="198" t="n">
        <x:f>IFERROR(COUNTIFS('Data'!$F$2:$F$181,H27,'Data'!$H$2:$H$181,"Yes")/COUNTIF('Data'!$F$2:$F$181,H27),0)</x:f>
        <x:v>0.15384615384615385</x:v>
      </x:c>
      <x:c r="J27" s="1"/>
      <x:c r="K27" s="1"/>
      <x:c r="L27" s="1"/>
      <x:c r="M27" s="1"/>
      <x:c r="N27" s="1"/>
    </x:row>
    <x:row r="28">
      <x:c r="A28" s="1"/>
      <x:c r="B28" s="1" t="str">
        <x:v>Plus</x:v>
      </x:c>
      <x:c r="C28" s="198" t="n">
        <x:f>COUNTIFS('Data'!$C$2:$C$181,B28,'Data'!$H$2:$H$181,"Yes")/COUNTIF('Data'!$C$2:$C$181,B28)</x:f>
        <x:v>0.1</x:v>
      </x:c>
      <x:c r="D28" s="1"/>
      <x:c r="E28" s="1"/>
      <x:c r="F28" s="1"/>
      <x:c r="G28" s="1"/>
      <x:c r="H28" s="1" t="n">
        <x:v>1</x:v>
      </x:c>
      <x:c r="I28" s="198" t="n">
        <x:f>IFERROR(COUNTIFS('Data'!$F$2:$F$181,H28,'Data'!$H$2:$H$181,"Yes")/COUNTIF('Data'!$F$2:$F$181,H28),0)</x:f>
        <x:v>0.11538461538461539</x:v>
      </x:c>
      <x:c r="J28" s="1"/>
      <x:c r="K28" s="1"/>
      <x:c r="L28" s="1"/>
      <x:c r="M28" s="1"/>
      <x:c r="N28" s="1"/>
    </x:row>
    <x:row r="29">
      <x:c r="A29" s="1"/>
      <x:c r="B29" s="1" t="str">
        <x:v>Premium</x:v>
      </x:c>
      <x:c r="C29" s="198" t="n">
        <x:f>COUNTIFS('Data'!$C$2:$C$181,B29,'Data'!$H$2:$H$181,"Yes")/COUNTIF('Data'!$C$2:$C$181,B29)</x:f>
        <x:v>0.05</x:v>
      </x:c>
      <x:c r="D29" s="1"/>
      <x:c r="E29" s="1"/>
      <x:c r="F29" s="1"/>
      <x:c r="G29" s="1"/>
      <x:c r="H29" s="1" t="n">
        <x:v>2</x:v>
      </x:c>
      <x:c r="I29" s="198" t="n">
        <x:f>IFERROR(COUNTIFS('Data'!$F$2:$F$181,H29,'Data'!$H$2:$H$181,"Yes")/COUNTIF('Data'!$F$2:$F$181,H29),0)</x:f>
        <x:v>0.12</x:v>
      </x:c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 t="n">
        <x:v>3</x:v>
      </x:c>
      <x:c r="I30" s="198" t="n">
        <x:f>IFERROR(COUNTIFS('Data'!$F$2:$F$181,H30,'Data'!$H$2:$H$181,"Yes")/COUNTIF('Data'!$F$2:$F$181,H30),0)</x:f>
        <x:v>0.15384615384615385</x:v>
      </x:c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 t="n">
        <x:v>4</x:v>
      </x:c>
      <x:c r="I31" s="198" t="n">
        <x:f>IFERROR(COUNTIFS('Data'!$F$2:$F$181,H31,'Data'!$H$2:$H$181,"Yes")/COUNTIF('Data'!$F$2:$F$181,H31),0)</x:f>
        <x:v>0.28</x:v>
      </x:c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 t="n">
        <x:v>5</x:v>
      </x:c>
      <x:c r="I32" s="198" t="n">
        <x:f>IFERROR(COUNTIFS('Data'!$F$2:$F$181,H32,'Data'!$H$2:$H$181,"Yes")/COUNTIF('Data'!$F$2:$F$181,H32),0)</x:f>
        <x:v>0.3076923076923077</x:v>
      </x:c>
      <x:c r="J32" s="1"/>
      <x:c r="K32" s="1"/>
      <x:c r="L32" s="1"/>
      <x:c r="M32" s="1"/>
      <x:c r="N32" s="1"/>
    </x:row>
    <x:row r="33">
      <x:c r="H33" t="n">
        <x:v>6</x:v>
      </x:c>
      <x:c r="I33" s="199" t="n">
        <x:f>IFERROR(COUNTIFS('Data'!$F$2:$F$181,H33,'Data'!$H$2:$H$181,"Yes")/COUNTIF('Data'!$F$2:$F$181,H33),0)</x:f>
        <x:v>0.2692307692307692</x:v>
      </x:c>
    </x:row>
  </x:sheetData>
  <x:mergeCells>
    <x:mergeCell ref="A1:N2"/>
    <x:mergeCell ref="A3:N3"/>
    <x:mergeCell ref="B5:D8"/>
    <x:mergeCell ref="E5:G8"/>
    <x:mergeCell ref="H5:J8"/>
    <x:mergeCell ref="K5:M8"/>
    <x:mergeCell ref="B10:G10"/>
    <x:mergeCell ref="H10:M10"/>
  </x:mergeCells>
  <x:pageMargins left="0.7" right="0.7" top="0.75" bottom="0.75" header="0.3" footer="0.3"/>
  <x:drawing xmlns:r="http://schemas.openxmlformats.org/officeDocument/2006/relationships" r:id="Rdd6c1a6b1c78461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12" hidden="0" customWidth="1"/>
    <x:col min="5" max="5" width="14" hidden="0" customWidth="1"/>
    <x:col min="6" max="6" width="14" hidden="0" customWidth="1"/>
    <x:col min="7" max="7" width="12" hidden="0" customWidth="1"/>
    <x:col min="8" max="8" width="12" hidden="0" customWidth="1"/>
  </x:cols>
  <x:sheetData>
    <x:row r="1">
      <x:c r="A1" s="9" t="str">
        <x:v>Customer_ID</x:v>
      </x:c>
      <x:c r="B1" s="9" t="str">
        <x:v>Tenure_Months</x:v>
      </x:c>
      <x:c r="C1" s="9" t="str">
        <x:v>Plan</x:v>
      </x:c>
      <x:c r="D1" s="9" t="str">
        <x:v>Region</x:v>
      </x:c>
      <x:c r="E1" s="9" t="str">
        <x:v>Monthly_Charge</x:v>
      </x:c>
      <x:c r="F1" s="9" t="str">
        <x:v>Support_Tickets</x:v>
      </x:c>
      <x:c r="G1" s="9" t="str">
        <x:v>Satisfaction</x:v>
      </x:c>
      <x:c r="H1" s="9" t="str">
        <x:v>Churned</x:v>
      </x:c>
    </x:row>
    <x:row r="2">
      <x:c r="A2" t="str">
        <x:v>CUS-2001</x:v>
      </x:c>
      <x:c r="B2" t="n">
        <x:v>1</x:v>
      </x:c>
      <x:c r="C2" t="str">
        <x:v>Basic</x:v>
      </x:c>
      <x:c r="D2" t="str">
        <x:v>West</x:v>
      </x:c>
      <x:c r="E2" s="10" t="n">
        <x:v>39</x:v>
      </x:c>
      <x:c r="F2" t="n">
        <x:v>0</x:v>
      </x:c>
      <x:c r="G2" t="n">
        <x:v>1</x:v>
      </x:c>
      <x:c r="H2" t="str">
        <x:v>Yes</x:v>
      </x:c>
    </x:row>
    <x:row r="3">
      <x:c r="A3" t="str">
        <x:v>CUS-2002</x:v>
      </x:c>
      <x:c r="B3" t="n">
        <x:v>8</x:v>
      </x:c>
      <x:c r="C3" t="str">
        <x:v>Plus</x:v>
      </x:c>
      <x:c r="D3" t="str">
        <x:v>South</x:v>
      </x:c>
      <x:c r="E3" s="10" t="n">
        <x:v>50</x:v>
      </x:c>
      <x:c r="F3" t="n">
        <x:v>5</x:v>
      </x:c>
      <x:c r="G3" t="n">
        <x:v>4</x:v>
      </x:c>
      <x:c r="H3" t="str">
        <x:v>Yes</x:v>
      </x:c>
    </x:row>
    <x:row r="4">
      <x:c r="A4" t="str">
        <x:v>CUS-2003</x:v>
      </x:c>
      <x:c r="B4" t="n">
        <x:v>15</x:v>
      </x:c>
      <x:c r="C4" t="str">
        <x:v>Premium</x:v>
      </x:c>
      <x:c r="D4" t="str">
        <x:v>Central</x:v>
      </x:c>
      <x:c r="E4" s="10" t="n">
        <x:v>61</x:v>
      </x:c>
      <x:c r="F4" t="n">
        <x:v>3</x:v>
      </x:c>
      <x:c r="G4" t="n">
        <x:v>2</x:v>
      </x:c>
      <x:c r="H4" t="str">
        <x:v>No</x:v>
      </x:c>
    </x:row>
    <x:row r="5">
      <x:c r="A5" t="str">
        <x:v>CUS-2004</x:v>
      </x:c>
      <x:c r="B5" t="n">
        <x:v>22</x:v>
      </x:c>
      <x:c r="C5" t="str">
        <x:v>Basic</x:v>
      </x:c>
      <x:c r="D5" t="str">
        <x:v>East</x:v>
      </x:c>
      <x:c r="E5" s="10" t="n">
        <x:v>72</x:v>
      </x:c>
      <x:c r="F5" t="n">
        <x:v>1</x:v>
      </x:c>
      <x:c r="G5" t="n">
        <x:v>5</x:v>
      </x:c>
      <x:c r="H5" t="str">
        <x:v>No</x:v>
      </x:c>
    </x:row>
    <x:row r="6">
      <x:c r="A6" t="str">
        <x:v>CUS-2005</x:v>
      </x:c>
      <x:c r="B6" t="n">
        <x:v>29</x:v>
      </x:c>
      <x:c r="C6" t="str">
        <x:v>Plus</x:v>
      </x:c>
      <x:c r="D6" t="str">
        <x:v>West</x:v>
      </x:c>
      <x:c r="E6" s="10" t="n">
        <x:v>83</x:v>
      </x:c>
      <x:c r="F6" t="n">
        <x:v>6</x:v>
      </x:c>
      <x:c r="G6" t="n">
        <x:v>3</x:v>
      </x:c>
      <x:c r="H6" t="str">
        <x:v>No</x:v>
      </x:c>
    </x:row>
    <x:row r="7">
      <x:c r="A7" t="str">
        <x:v>CUS-2006</x:v>
      </x:c>
      <x:c r="B7" t="n">
        <x:v>36</x:v>
      </x:c>
      <x:c r="C7" t="str">
        <x:v>Premium</x:v>
      </x:c>
      <x:c r="D7" t="str">
        <x:v>South</x:v>
      </x:c>
      <x:c r="E7" s="10" t="n">
        <x:v>94</x:v>
      </x:c>
      <x:c r="F7" t="n">
        <x:v>4</x:v>
      </x:c>
      <x:c r="G7" t="n">
        <x:v>1</x:v>
      </x:c>
      <x:c r="H7" t="str">
        <x:v>No</x:v>
      </x:c>
    </x:row>
    <x:row r="8">
      <x:c r="A8" t="str">
        <x:v>CUS-2007</x:v>
      </x:c>
      <x:c r="B8" t="n">
        <x:v>43</x:v>
      </x:c>
      <x:c r="C8" t="str">
        <x:v>Basic</x:v>
      </x:c>
      <x:c r="D8" t="str">
        <x:v>Central</x:v>
      </x:c>
      <x:c r="E8" s="10" t="n">
        <x:v>105</x:v>
      </x:c>
      <x:c r="F8" t="n">
        <x:v>2</x:v>
      </x:c>
      <x:c r="G8" t="n">
        <x:v>4</x:v>
      </x:c>
      <x:c r="H8" t="str">
        <x:v>No</x:v>
      </x:c>
    </x:row>
    <x:row r="9">
      <x:c r="A9" t="str">
        <x:v>CUS-2008</x:v>
      </x:c>
      <x:c r="B9" t="n">
        <x:v>50</x:v>
      </x:c>
      <x:c r="C9" t="str">
        <x:v>Plus</x:v>
      </x:c>
      <x:c r="D9" t="str">
        <x:v>East</x:v>
      </x:c>
      <x:c r="E9" s="10" t="n">
        <x:v>116</x:v>
      </x:c>
      <x:c r="F9" t="n">
        <x:v>0</x:v>
      </x:c>
      <x:c r="G9" t="n">
        <x:v>2</x:v>
      </x:c>
      <x:c r="H9" t="str">
        <x:v>No</x:v>
      </x:c>
    </x:row>
    <x:row r="10">
      <x:c r="A10" t="str">
        <x:v>CUS-2009</x:v>
      </x:c>
      <x:c r="B10" t="n">
        <x:v>57</x:v>
      </x:c>
      <x:c r="C10" t="str">
        <x:v>Premium</x:v>
      </x:c>
      <x:c r="D10" t="str">
        <x:v>West</x:v>
      </x:c>
      <x:c r="E10" s="10" t="n">
        <x:v>127</x:v>
      </x:c>
      <x:c r="F10" t="n">
        <x:v>5</x:v>
      </x:c>
      <x:c r="G10" t="n">
        <x:v>5</x:v>
      </x:c>
      <x:c r="H10" t="str">
        <x:v>No</x:v>
      </x:c>
    </x:row>
    <x:row r="11">
      <x:c r="A11" t="str">
        <x:v>CUS-2010</x:v>
      </x:c>
      <x:c r="B11" t="n">
        <x:v>4</x:v>
      </x:c>
      <x:c r="C11" t="str">
        <x:v>Basic</x:v>
      </x:c>
      <x:c r="D11" t="str">
        <x:v>South</x:v>
      </x:c>
      <x:c r="E11" s="10" t="n">
        <x:v>46</x:v>
      </x:c>
      <x:c r="F11" t="n">
        <x:v>3</x:v>
      </x:c>
      <x:c r="G11" t="n">
        <x:v>3</x:v>
      </x:c>
      <x:c r="H11" t="str">
        <x:v>No</x:v>
      </x:c>
    </x:row>
    <x:row r="12">
      <x:c r="A12" t="str">
        <x:v>CUS-2011</x:v>
      </x:c>
      <x:c r="B12" t="n">
        <x:v>11</x:v>
      </x:c>
      <x:c r="C12" t="str">
        <x:v>Plus</x:v>
      </x:c>
      <x:c r="D12" t="str">
        <x:v>Central</x:v>
      </x:c>
      <x:c r="E12" s="10" t="n">
        <x:v>57</x:v>
      </x:c>
      <x:c r="F12" t="n">
        <x:v>1</x:v>
      </x:c>
      <x:c r="G12" t="n">
        <x:v>1</x:v>
      </x:c>
      <x:c r="H12" t="str">
        <x:v>No</x:v>
      </x:c>
    </x:row>
    <x:row r="13">
      <x:c r="A13" t="str">
        <x:v>CUS-2012</x:v>
      </x:c>
      <x:c r="B13" t="n">
        <x:v>18</x:v>
      </x:c>
      <x:c r="C13" t="str">
        <x:v>Premium</x:v>
      </x:c>
      <x:c r="D13" t="str">
        <x:v>East</x:v>
      </x:c>
      <x:c r="E13" s="10" t="n">
        <x:v>68</x:v>
      </x:c>
      <x:c r="F13" t="n">
        <x:v>6</x:v>
      </x:c>
      <x:c r="G13" t="n">
        <x:v>4</x:v>
      </x:c>
      <x:c r="H13" t="str">
        <x:v>No</x:v>
      </x:c>
    </x:row>
    <x:row r="14">
      <x:c r="A14" t="str">
        <x:v>CUS-2013</x:v>
      </x:c>
      <x:c r="B14" t="n">
        <x:v>25</x:v>
      </x:c>
      <x:c r="C14" t="str">
        <x:v>Basic</x:v>
      </x:c>
      <x:c r="D14" t="str">
        <x:v>West</x:v>
      </x:c>
      <x:c r="E14" s="10" t="n">
        <x:v>79</x:v>
      </x:c>
      <x:c r="F14" t="n">
        <x:v>4</x:v>
      </x:c>
      <x:c r="G14" t="n">
        <x:v>2</x:v>
      </x:c>
      <x:c r="H14" t="str">
        <x:v>Yes</x:v>
      </x:c>
    </x:row>
    <x:row r="15">
      <x:c r="A15" t="str">
        <x:v>CUS-2014</x:v>
      </x:c>
      <x:c r="B15" t="n">
        <x:v>32</x:v>
      </x:c>
      <x:c r="C15" t="str">
        <x:v>Plus</x:v>
      </x:c>
      <x:c r="D15" t="str">
        <x:v>South</x:v>
      </x:c>
      <x:c r="E15" s="10" t="n">
        <x:v>90</x:v>
      </x:c>
      <x:c r="F15" t="n">
        <x:v>2</x:v>
      </x:c>
      <x:c r="G15" t="n">
        <x:v>5</x:v>
      </x:c>
      <x:c r="H15" t="str">
        <x:v>No</x:v>
      </x:c>
    </x:row>
    <x:row r="16">
      <x:c r="A16" t="str">
        <x:v>CUS-2015</x:v>
      </x:c>
      <x:c r="B16" t="n">
        <x:v>39</x:v>
      </x:c>
      <x:c r="C16" t="str">
        <x:v>Premium</x:v>
      </x:c>
      <x:c r="D16" t="str">
        <x:v>Central</x:v>
      </x:c>
      <x:c r="E16" s="10" t="n">
        <x:v>101</x:v>
      </x:c>
      <x:c r="F16" t="n">
        <x:v>0</x:v>
      </x:c>
      <x:c r="G16" t="n">
        <x:v>3</x:v>
      </x:c>
      <x:c r="H16" t="str">
        <x:v>No</x:v>
      </x:c>
    </x:row>
    <x:row r="17">
      <x:c r="A17" t="str">
        <x:v>CUS-2016</x:v>
      </x:c>
      <x:c r="B17" t="n">
        <x:v>46</x:v>
      </x:c>
      <x:c r="C17" t="str">
        <x:v>Basic</x:v>
      </x:c>
      <x:c r="D17" t="str">
        <x:v>East</x:v>
      </x:c>
      <x:c r="E17" s="10" t="n">
        <x:v>112</x:v>
      </x:c>
      <x:c r="F17" t="n">
        <x:v>5</x:v>
      </x:c>
      <x:c r="G17" t="n">
        <x:v>1</x:v>
      </x:c>
      <x:c r="H17" t="str">
        <x:v>Yes</x:v>
      </x:c>
    </x:row>
    <x:row r="18">
      <x:c r="A18" t="str">
        <x:v>CUS-2017</x:v>
      </x:c>
      <x:c r="B18" t="n">
        <x:v>53</x:v>
      </x:c>
      <x:c r="C18" t="str">
        <x:v>Plus</x:v>
      </x:c>
      <x:c r="D18" t="str">
        <x:v>West</x:v>
      </x:c>
      <x:c r="E18" s="10" t="n">
        <x:v>123</x:v>
      </x:c>
      <x:c r="F18" t="n">
        <x:v>3</x:v>
      </x:c>
      <x:c r="G18" t="n">
        <x:v>4</x:v>
      </x:c>
      <x:c r="H18" t="str">
        <x:v>No</x:v>
      </x:c>
    </x:row>
    <x:row r="19">
      <x:c r="A19" t="str">
        <x:v>CUS-2018</x:v>
      </x:c>
      <x:c r="B19" t="n">
        <x:v>60</x:v>
      </x:c>
      <x:c r="C19" t="str">
        <x:v>Premium</x:v>
      </x:c>
      <x:c r="D19" t="str">
        <x:v>South</x:v>
      </x:c>
      <x:c r="E19" s="10" t="n">
        <x:v>42</x:v>
      </x:c>
      <x:c r="F19" t="n">
        <x:v>1</x:v>
      </x:c>
      <x:c r="G19" t="n">
        <x:v>2</x:v>
      </x:c>
      <x:c r="H19" t="str">
        <x:v>No</x:v>
      </x:c>
    </x:row>
    <x:row r="20">
      <x:c r="A20" t="str">
        <x:v>CUS-2019</x:v>
      </x:c>
      <x:c r="B20" t="n">
        <x:v>7</x:v>
      </x:c>
      <x:c r="C20" t="str">
        <x:v>Basic</x:v>
      </x:c>
      <x:c r="D20" t="str">
        <x:v>Central</x:v>
      </x:c>
      <x:c r="E20" s="10" t="n">
        <x:v>53</x:v>
      </x:c>
      <x:c r="F20" t="n">
        <x:v>6</x:v>
      </x:c>
      <x:c r="G20" t="n">
        <x:v>5</x:v>
      </x:c>
      <x:c r="H20" t="str">
        <x:v>Yes</x:v>
      </x:c>
    </x:row>
    <x:row r="21">
      <x:c r="A21" t="str">
        <x:v>CUS-2020</x:v>
      </x:c>
      <x:c r="B21" t="n">
        <x:v>14</x:v>
      </x:c>
      <x:c r="C21" t="str">
        <x:v>Plus</x:v>
      </x:c>
      <x:c r="D21" t="str">
        <x:v>East</x:v>
      </x:c>
      <x:c r="E21" s="10" t="n">
        <x:v>64</x:v>
      </x:c>
      <x:c r="F21" t="n">
        <x:v>4</x:v>
      </x:c>
      <x:c r="G21" t="n">
        <x:v>3</x:v>
      </x:c>
      <x:c r="H21" t="str">
        <x:v>No</x:v>
      </x:c>
    </x:row>
    <x:row r="22">
      <x:c r="A22" t="str">
        <x:v>CUS-2021</x:v>
      </x:c>
      <x:c r="B22" t="n">
        <x:v>21</x:v>
      </x:c>
      <x:c r="C22" t="str">
        <x:v>Premium</x:v>
      </x:c>
      <x:c r="D22" t="str">
        <x:v>West</x:v>
      </x:c>
      <x:c r="E22" s="10" t="n">
        <x:v>75</x:v>
      </x:c>
      <x:c r="F22" t="n">
        <x:v>2</x:v>
      </x:c>
      <x:c r="G22" t="n">
        <x:v>1</x:v>
      </x:c>
      <x:c r="H22" t="str">
        <x:v>No</x:v>
      </x:c>
    </x:row>
    <x:row r="23">
      <x:c r="A23" t="str">
        <x:v>CUS-2022</x:v>
      </x:c>
      <x:c r="B23" t="n">
        <x:v>28</x:v>
      </x:c>
      <x:c r="C23" t="str">
        <x:v>Basic</x:v>
      </x:c>
      <x:c r="D23" t="str">
        <x:v>South</x:v>
      </x:c>
      <x:c r="E23" s="10" t="n">
        <x:v>86</x:v>
      </x:c>
      <x:c r="F23" t="n">
        <x:v>0</x:v>
      </x:c>
      <x:c r="G23" t="n">
        <x:v>4</x:v>
      </x:c>
      <x:c r="H23" t="str">
        <x:v>No</x:v>
      </x:c>
    </x:row>
    <x:row r="24">
      <x:c r="A24" t="str">
        <x:v>CUS-2023</x:v>
      </x:c>
      <x:c r="B24" t="n">
        <x:v>35</x:v>
      </x:c>
      <x:c r="C24" t="str">
        <x:v>Plus</x:v>
      </x:c>
      <x:c r="D24" t="str">
        <x:v>Central</x:v>
      </x:c>
      <x:c r="E24" s="10" t="n">
        <x:v>97</x:v>
      </x:c>
      <x:c r="F24" t="n">
        <x:v>5</x:v>
      </x:c>
      <x:c r="G24" t="n">
        <x:v>2</x:v>
      </x:c>
      <x:c r="H24" t="str">
        <x:v>No</x:v>
      </x:c>
    </x:row>
    <x:row r="25">
      <x:c r="A25" t="str">
        <x:v>CUS-2024</x:v>
      </x:c>
      <x:c r="B25" t="n">
        <x:v>42</x:v>
      </x:c>
      <x:c r="C25" t="str">
        <x:v>Premium</x:v>
      </x:c>
      <x:c r="D25" t="str">
        <x:v>East</x:v>
      </x:c>
      <x:c r="E25" s="10" t="n">
        <x:v>108</x:v>
      </x:c>
      <x:c r="F25" t="n">
        <x:v>3</x:v>
      </x:c>
      <x:c r="G25" t="n">
        <x:v>5</x:v>
      </x:c>
      <x:c r="H25" t="str">
        <x:v>No</x:v>
      </x:c>
    </x:row>
    <x:row r="26">
      <x:c r="A26" t="str">
        <x:v>CUS-2025</x:v>
      </x:c>
      <x:c r="B26" t="n">
        <x:v>49</x:v>
      </x:c>
      <x:c r="C26" t="str">
        <x:v>Basic</x:v>
      </x:c>
      <x:c r="D26" t="str">
        <x:v>West</x:v>
      </x:c>
      <x:c r="E26" s="10" t="n">
        <x:v>119</x:v>
      </x:c>
      <x:c r="F26" t="n">
        <x:v>1</x:v>
      </x:c>
      <x:c r="G26" t="n">
        <x:v>3</x:v>
      </x:c>
      <x:c r="H26" t="str">
        <x:v>No</x:v>
      </x:c>
    </x:row>
    <x:row r="27">
      <x:c r="A27" t="str">
        <x:v>CUS-2026</x:v>
      </x:c>
      <x:c r="B27" t="n">
        <x:v>56</x:v>
      </x:c>
      <x:c r="C27" t="str">
        <x:v>Plus</x:v>
      </x:c>
      <x:c r="D27" t="str">
        <x:v>South</x:v>
      </x:c>
      <x:c r="E27" s="10" t="n">
        <x:v>130</x:v>
      </x:c>
      <x:c r="F27" t="n">
        <x:v>6</x:v>
      </x:c>
      <x:c r="G27" t="n">
        <x:v>1</x:v>
      </x:c>
      <x:c r="H27" t="str">
        <x:v>No</x:v>
      </x:c>
    </x:row>
    <x:row r="28">
      <x:c r="A28" t="str">
        <x:v>CUS-2027</x:v>
      </x:c>
      <x:c r="B28" t="n">
        <x:v>3</x:v>
      </x:c>
      <x:c r="C28" t="str">
        <x:v>Premium</x:v>
      </x:c>
      <x:c r="D28" t="str">
        <x:v>Central</x:v>
      </x:c>
      <x:c r="E28" s="10" t="n">
        <x:v>49</x:v>
      </x:c>
      <x:c r="F28" t="n">
        <x:v>4</x:v>
      </x:c>
      <x:c r="G28" t="n">
        <x:v>4</x:v>
      </x:c>
      <x:c r="H28" t="str">
        <x:v>Yes</x:v>
      </x:c>
    </x:row>
    <x:row r="29">
      <x:c r="A29" t="str">
        <x:v>CUS-2028</x:v>
      </x:c>
      <x:c r="B29" t="n">
        <x:v>10</x:v>
      </x:c>
      <x:c r="C29" t="str">
        <x:v>Basic</x:v>
      </x:c>
      <x:c r="D29" t="str">
        <x:v>East</x:v>
      </x:c>
      <x:c r="E29" s="10" t="n">
        <x:v>60</x:v>
      </x:c>
      <x:c r="F29" t="n">
        <x:v>2</x:v>
      </x:c>
      <x:c r="G29" t="n">
        <x:v>2</x:v>
      </x:c>
      <x:c r="H29" t="str">
        <x:v>Yes</x:v>
      </x:c>
    </x:row>
    <x:row r="30">
      <x:c r="A30" t="str">
        <x:v>CUS-2029</x:v>
      </x:c>
      <x:c r="B30" t="n">
        <x:v>17</x:v>
      </x:c>
      <x:c r="C30" t="str">
        <x:v>Plus</x:v>
      </x:c>
      <x:c r="D30" t="str">
        <x:v>West</x:v>
      </x:c>
      <x:c r="E30" s="10" t="n">
        <x:v>71</x:v>
      </x:c>
      <x:c r="F30" t="n">
        <x:v>0</x:v>
      </x:c>
      <x:c r="G30" t="n">
        <x:v>5</x:v>
      </x:c>
      <x:c r="H30" t="str">
        <x:v>No</x:v>
      </x:c>
    </x:row>
    <x:row r="31">
      <x:c r="A31" t="str">
        <x:v>CUS-2030</x:v>
      </x:c>
      <x:c r="B31" t="n">
        <x:v>24</x:v>
      </x:c>
      <x:c r="C31" t="str">
        <x:v>Premium</x:v>
      </x:c>
      <x:c r="D31" t="str">
        <x:v>South</x:v>
      </x:c>
      <x:c r="E31" s="10" t="n">
        <x:v>82</x:v>
      </x:c>
      <x:c r="F31" t="n">
        <x:v>5</x:v>
      </x:c>
      <x:c r="G31" t="n">
        <x:v>3</x:v>
      </x:c>
      <x:c r="H31" t="str">
        <x:v>No</x:v>
      </x:c>
    </x:row>
    <x:row r="32">
      <x:c r="A32" t="str">
        <x:v>CUS-2031</x:v>
      </x:c>
      <x:c r="B32" t="n">
        <x:v>31</x:v>
      </x:c>
      <x:c r="C32" t="str">
        <x:v>Basic</x:v>
      </x:c>
      <x:c r="D32" t="str">
        <x:v>Central</x:v>
      </x:c>
      <x:c r="E32" s="10" t="n">
        <x:v>93</x:v>
      </x:c>
      <x:c r="F32" t="n">
        <x:v>3</x:v>
      </x:c>
      <x:c r="G32" t="n">
        <x:v>1</x:v>
      </x:c>
      <x:c r="H32" t="str">
        <x:v>Yes</x:v>
      </x:c>
    </x:row>
    <x:row r="33">
      <x:c r="A33" t="str">
        <x:v>CUS-2032</x:v>
      </x:c>
      <x:c r="B33" t="n">
        <x:v>38</x:v>
      </x:c>
      <x:c r="C33" t="str">
        <x:v>Plus</x:v>
      </x:c>
      <x:c r="D33" t="str">
        <x:v>East</x:v>
      </x:c>
      <x:c r="E33" s="10" t="n">
        <x:v>104</x:v>
      </x:c>
      <x:c r="F33" t="n">
        <x:v>1</x:v>
      </x:c>
      <x:c r="G33" t="n">
        <x:v>4</x:v>
      </x:c>
      <x:c r="H33" t="str">
        <x:v>No</x:v>
      </x:c>
    </x:row>
    <x:row r="34">
      <x:c r="A34" t="str">
        <x:v>CUS-2033</x:v>
      </x:c>
      <x:c r="B34" t="n">
        <x:v>45</x:v>
      </x:c>
      <x:c r="C34" t="str">
        <x:v>Premium</x:v>
      </x:c>
      <x:c r="D34" t="str">
        <x:v>West</x:v>
      </x:c>
      <x:c r="E34" s="10" t="n">
        <x:v>115</x:v>
      </x:c>
      <x:c r="F34" t="n">
        <x:v>6</x:v>
      </x:c>
      <x:c r="G34" t="n">
        <x:v>2</x:v>
      </x:c>
      <x:c r="H34" t="str">
        <x:v>No</x:v>
      </x:c>
    </x:row>
    <x:row r="35">
      <x:c r="A35" t="str">
        <x:v>CUS-2034</x:v>
      </x:c>
      <x:c r="B35" t="n">
        <x:v>52</x:v>
      </x:c>
      <x:c r="C35" t="str">
        <x:v>Basic</x:v>
      </x:c>
      <x:c r="D35" t="str">
        <x:v>South</x:v>
      </x:c>
      <x:c r="E35" s="10" t="n">
        <x:v>126</x:v>
      </x:c>
      <x:c r="F35" t="n">
        <x:v>4</x:v>
      </x:c>
      <x:c r="G35" t="n">
        <x:v>5</x:v>
      </x:c>
      <x:c r="H35" t="str">
        <x:v>No</x:v>
      </x:c>
    </x:row>
    <x:row r="36">
      <x:c r="A36" t="str">
        <x:v>CUS-2035</x:v>
      </x:c>
      <x:c r="B36" t="n">
        <x:v>59</x:v>
      </x:c>
      <x:c r="C36" t="str">
        <x:v>Plus</x:v>
      </x:c>
      <x:c r="D36" t="str">
        <x:v>Central</x:v>
      </x:c>
      <x:c r="E36" s="10" t="n">
        <x:v>45</x:v>
      </x:c>
      <x:c r="F36" t="n">
        <x:v>2</x:v>
      </x:c>
      <x:c r="G36" t="n">
        <x:v>3</x:v>
      </x:c>
      <x:c r="H36" t="str">
        <x:v>No</x:v>
      </x:c>
    </x:row>
    <x:row r="37">
      <x:c r="A37" t="str">
        <x:v>CUS-2036</x:v>
      </x:c>
      <x:c r="B37" t="n">
        <x:v>6</x:v>
      </x:c>
      <x:c r="C37" t="str">
        <x:v>Premium</x:v>
      </x:c>
      <x:c r="D37" t="str">
        <x:v>East</x:v>
      </x:c>
      <x:c r="E37" s="10" t="n">
        <x:v>56</x:v>
      </x:c>
      <x:c r="F37" t="n">
        <x:v>0</x:v>
      </x:c>
      <x:c r="G37" t="n">
        <x:v>1</x:v>
      </x:c>
      <x:c r="H37" t="str">
        <x:v>No</x:v>
      </x:c>
    </x:row>
    <x:row r="38">
      <x:c r="A38" t="str">
        <x:v>CUS-2037</x:v>
      </x:c>
      <x:c r="B38" t="n">
        <x:v>13</x:v>
      </x:c>
      <x:c r="C38" t="str">
        <x:v>Basic</x:v>
      </x:c>
      <x:c r="D38" t="str">
        <x:v>West</x:v>
      </x:c>
      <x:c r="E38" s="10" t="n">
        <x:v>67</x:v>
      </x:c>
      <x:c r="F38" t="n">
        <x:v>5</x:v>
      </x:c>
      <x:c r="G38" t="n">
        <x:v>4</x:v>
      </x:c>
      <x:c r="H38" t="str">
        <x:v>No</x:v>
      </x:c>
    </x:row>
    <x:row r="39">
      <x:c r="A39" t="str">
        <x:v>CUS-2038</x:v>
      </x:c>
      <x:c r="B39" t="n">
        <x:v>20</x:v>
      </x:c>
      <x:c r="C39" t="str">
        <x:v>Plus</x:v>
      </x:c>
      <x:c r="D39" t="str">
        <x:v>South</x:v>
      </x:c>
      <x:c r="E39" s="10" t="n">
        <x:v>78</x:v>
      </x:c>
      <x:c r="F39" t="n">
        <x:v>3</x:v>
      </x:c>
      <x:c r="G39" t="n">
        <x:v>2</x:v>
      </x:c>
      <x:c r="H39" t="str">
        <x:v>No</x:v>
      </x:c>
    </x:row>
    <x:row r="40">
      <x:c r="A40" t="str">
        <x:v>CUS-2039</x:v>
      </x:c>
      <x:c r="B40" t="n">
        <x:v>27</x:v>
      </x:c>
      <x:c r="C40" t="str">
        <x:v>Premium</x:v>
      </x:c>
      <x:c r="D40" t="str">
        <x:v>Central</x:v>
      </x:c>
      <x:c r="E40" s="10" t="n">
        <x:v>89</x:v>
      </x:c>
      <x:c r="F40" t="n">
        <x:v>1</x:v>
      </x:c>
      <x:c r="G40" t="n">
        <x:v>5</x:v>
      </x:c>
      <x:c r="H40" t="str">
        <x:v>No</x:v>
      </x:c>
    </x:row>
    <x:row r="41">
      <x:c r="A41" t="str">
        <x:v>CUS-2040</x:v>
      </x:c>
      <x:c r="B41" t="n">
        <x:v>34</x:v>
      </x:c>
      <x:c r="C41" t="str">
        <x:v>Basic</x:v>
      </x:c>
      <x:c r="D41" t="str">
        <x:v>East</x:v>
      </x:c>
      <x:c r="E41" s="10" t="n">
        <x:v>100</x:v>
      </x:c>
      <x:c r="F41" t="n">
        <x:v>6</x:v>
      </x:c>
      <x:c r="G41" t="n">
        <x:v>3</x:v>
      </x:c>
      <x:c r="H41" t="str">
        <x:v>No</x:v>
      </x:c>
    </x:row>
    <x:row r="42">
      <x:c r="A42" t="str">
        <x:v>CUS-2041</x:v>
      </x:c>
      <x:c r="B42" t="n">
        <x:v>41</x:v>
      </x:c>
      <x:c r="C42" t="str">
        <x:v>Plus</x:v>
      </x:c>
      <x:c r="D42" t="str">
        <x:v>West</x:v>
      </x:c>
      <x:c r="E42" s="10" t="n">
        <x:v>111</x:v>
      </x:c>
      <x:c r="F42" t="n">
        <x:v>4</x:v>
      </x:c>
      <x:c r="G42" t="n">
        <x:v>1</x:v>
      </x:c>
      <x:c r="H42" t="str">
        <x:v>No</x:v>
      </x:c>
    </x:row>
    <x:row r="43">
      <x:c r="A43" t="str">
        <x:v>CUS-2042</x:v>
      </x:c>
      <x:c r="B43" t="n">
        <x:v>48</x:v>
      </x:c>
      <x:c r="C43" t="str">
        <x:v>Premium</x:v>
      </x:c>
      <x:c r="D43" t="str">
        <x:v>South</x:v>
      </x:c>
      <x:c r="E43" s="10" t="n">
        <x:v>122</x:v>
      </x:c>
      <x:c r="F43" t="n">
        <x:v>2</x:v>
      </x:c>
      <x:c r="G43" t="n">
        <x:v>4</x:v>
      </x:c>
      <x:c r="H43" t="str">
        <x:v>No</x:v>
      </x:c>
    </x:row>
    <x:row r="44">
      <x:c r="A44" t="str">
        <x:v>CUS-2043</x:v>
      </x:c>
      <x:c r="B44" t="n">
        <x:v>55</x:v>
      </x:c>
      <x:c r="C44" t="str">
        <x:v>Basic</x:v>
      </x:c>
      <x:c r="D44" t="str">
        <x:v>Central</x:v>
      </x:c>
      <x:c r="E44" s="10" t="n">
        <x:v>41</x:v>
      </x:c>
      <x:c r="F44" t="n">
        <x:v>0</x:v>
      </x:c>
      <x:c r="G44" t="n">
        <x:v>2</x:v>
      </x:c>
      <x:c r="H44" t="str">
        <x:v>Yes</x:v>
      </x:c>
    </x:row>
    <x:row r="45">
      <x:c r="A45" t="str">
        <x:v>CUS-2044</x:v>
      </x:c>
      <x:c r="B45" t="n">
        <x:v>2</x:v>
      </x:c>
      <x:c r="C45" t="str">
        <x:v>Plus</x:v>
      </x:c>
      <x:c r="D45" t="str">
        <x:v>East</x:v>
      </x:c>
      <x:c r="E45" s="10" t="n">
        <x:v>52</x:v>
      </x:c>
      <x:c r="F45" t="n">
        <x:v>5</x:v>
      </x:c>
      <x:c r="G45" t="n">
        <x:v>5</x:v>
      </x:c>
      <x:c r="H45" t="str">
        <x:v>Yes</x:v>
      </x:c>
    </x:row>
    <x:row r="46">
      <x:c r="A46" t="str">
        <x:v>CUS-2045</x:v>
      </x:c>
      <x:c r="B46" t="n">
        <x:v>9</x:v>
      </x:c>
      <x:c r="C46" t="str">
        <x:v>Premium</x:v>
      </x:c>
      <x:c r="D46" t="str">
        <x:v>West</x:v>
      </x:c>
      <x:c r="E46" s="10" t="n">
        <x:v>63</x:v>
      </x:c>
      <x:c r="F46" t="n">
        <x:v>3</x:v>
      </x:c>
      <x:c r="G46" t="n">
        <x:v>3</x:v>
      </x:c>
      <x:c r="H46" t="str">
        <x:v>No</x:v>
      </x:c>
    </x:row>
    <x:row r="47">
      <x:c r="A47" t="str">
        <x:v>CUS-2046</x:v>
      </x:c>
      <x:c r="B47" t="n">
        <x:v>16</x:v>
      </x:c>
      <x:c r="C47" t="str">
        <x:v>Basic</x:v>
      </x:c>
      <x:c r="D47" t="str">
        <x:v>South</x:v>
      </x:c>
      <x:c r="E47" s="10" t="n">
        <x:v>74</x:v>
      </x:c>
      <x:c r="F47" t="n">
        <x:v>1</x:v>
      </x:c>
      <x:c r="G47" t="n">
        <x:v>1</x:v>
      </x:c>
      <x:c r="H47" t="str">
        <x:v>Yes</x:v>
      </x:c>
    </x:row>
    <x:row r="48">
      <x:c r="A48" t="str">
        <x:v>CUS-2047</x:v>
      </x:c>
      <x:c r="B48" t="n">
        <x:v>23</x:v>
      </x:c>
      <x:c r="C48" t="str">
        <x:v>Plus</x:v>
      </x:c>
      <x:c r="D48" t="str">
        <x:v>Central</x:v>
      </x:c>
      <x:c r="E48" s="10" t="n">
        <x:v>85</x:v>
      </x:c>
      <x:c r="F48" t="n">
        <x:v>6</x:v>
      </x:c>
      <x:c r="G48" t="n">
        <x:v>4</x:v>
      </x:c>
      <x:c r="H48" t="str">
        <x:v>No</x:v>
      </x:c>
    </x:row>
    <x:row r="49">
      <x:c r="A49" t="str">
        <x:v>CUS-2048</x:v>
      </x:c>
      <x:c r="B49" t="n">
        <x:v>30</x:v>
      </x:c>
      <x:c r="C49" t="str">
        <x:v>Premium</x:v>
      </x:c>
      <x:c r="D49" t="str">
        <x:v>East</x:v>
      </x:c>
      <x:c r="E49" s="10" t="n">
        <x:v>96</x:v>
      </x:c>
      <x:c r="F49" t="n">
        <x:v>4</x:v>
      </x:c>
      <x:c r="G49" t="n">
        <x:v>2</x:v>
      </x:c>
      <x:c r="H49" t="str">
        <x:v>No</x:v>
      </x:c>
    </x:row>
    <x:row r="50">
      <x:c r="A50" t="str">
        <x:v>CUS-2049</x:v>
      </x:c>
      <x:c r="B50" t="n">
        <x:v>37</x:v>
      </x:c>
      <x:c r="C50" t="str">
        <x:v>Basic</x:v>
      </x:c>
      <x:c r="D50" t="str">
        <x:v>West</x:v>
      </x:c>
      <x:c r="E50" s="10" t="n">
        <x:v>107</x:v>
      </x:c>
      <x:c r="F50" t="n">
        <x:v>2</x:v>
      </x:c>
      <x:c r="G50" t="n">
        <x:v>5</x:v>
      </x:c>
      <x:c r="H50" t="str">
        <x:v>No</x:v>
      </x:c>
    </x:row>
    <x:row r="51">
      <x:c r="A51" t="str">
        <x:v>CUS-2050</x:v>
      </x:c>
      <x:c r="B51" t="n">
        <x:v>44</x:v>
      </x:c>
      <x:c r="C51" t="str">
        <x:v>Plus</x:v>
      </x:c>
      <x:c r="D51" t="str">
        <x:v>South</x:v>
      </x:c>
      <x:c r="E51" s="10" t="n">
        <x:v>118</x:v>
      </x:c>
      <x:c r="F51" t="n">
        <x:v>0</x:v>
      </x:c>
      <x:c r="G51" t="n">
        <x:v>3</x:v>
      </x:c>
      <x:c r="H51" t="str">
        <x:v>No</x:v>
      </x:c>
    </x:row>
    <x:row r="52">
      <x:c r="A52" t="str">
        <x:v>CUS-2051</x:v>
      </x:c>
      <x:c r="B52" t="n">
        <x:v>51</x:v>
      </x:c>
      <x:c r="C52" t="str">
        <x:v>Premium</x:v>
      </x:c>
      <x:c r="D52" t="str">
        <x:v>Central</x:v>
      </x:c>
      <x:c r="E52" s="10" t="n">
        <x:v>129</x:v>
      </x:c>
      <x:c r="F52" t="n">
        <x:v>5</x:v>
      </x:c>
      <x:c r="G52" t="n">
        <x:v>1</x:v>
      </x:c>
      <x:c r="H52" t="str">
        <x:v>No</x:v>
      </x:c>
    </x:row>
    <x:row r="53">
      <x:c r="A53" t="str">
        <x:v>CUS-2052</x:v>
      </x:c>
      <x:c r="B53" t="n">
        <x:v>58</x:v>
      </x:c>
      <x:c r="C53" t="str">
        <x:v>Basic</x:v>
      </x:c>
      <x:c r="D53" t="str">
        <x:v>East</x:v>
      </x:c>
      <x:c r="E53" s="10" t="n">
        <x:v>48</x:v>
      </x:c>
      <x:c r="F53" t="n">
        <x:v>3</x:v>
      </x:c>
      <x:c r="G53" t="n">
        <x:v>4</x:v>
      </x:c>
      <x:c r="H53" t="str">
        <x:v>No</x:v>
      </x:c>
    </x:row>
    <x:row r="54">
      <x:c r="A54" t="str">
        <x:v>CUS-2053</x:v>
      </x:c>
      <x:c r="B54" t="n">
        <x:v>5</x:v>
      </x:c>
      <x:c r="C54" t="str">
        <x:v>Plus</x:v>
      </x:c>
      <x:c r="D54" t="str">
        <x:v>West</x:v>
      </x:c>
      <x:c r="E54" s="10" t="n">
        <x:v>59</x:v>
      </x:c>
      <x:c r="F54" t="n">
        <x:v>1</x:v>
      </x:c>
      <x:c r="G54" t="n">
        <x:v>2</x:v>
      </x:c>
      <x:c r="H54" t="str">
        <x:v>No</x:v>
      </x:c>
    </x:row>
    <x:row r="55">
      <x:c r="A55" t="str">
        <x:v>CUS-2054</x:v>
      </x:c>
      <x:c r="B55" t="n">
        <x:v>12</x:v>
      </x:c>
      <x:c r="C55" t="str">
        <x:v>Premium</x:v>
      </x:c>
      <x:c r="D55" t="str">
        <x:v>South</x:v>
      </x:c>
      <x:c r="E55" s="10" t="n">
        <x:v>70</x:v>
      </x:c>
      <x:c r="F55" t="n">
        <x:v>6</x:v>
      </x:c>
      <x:c r="G55" t="n">
        <x:v>5</x:v>
      </x:c>
      <x:c r="H55" t="str">
        <x:v>No</x:v>
      </x:c>
    </x:row>
    <x:row r="56">
      <x:c r="A56" t="str">
        <x:v>CUS-2055</x:v>
      </x:c>
      <x:c r="B56" t="n">
        <x:v>19</x:v>
      </x:c>
      <x:c r="C56" t="str">
        <x:v>Basic</x:v>
      </x:c>
      <x:c r="D56" t="str">
        <x:v>Central</x:v>
      </x:c>
      <x:c r="E56" s="10" t="n">
        <x:v>81</x:v>
      </x:c>
      <x:c r="F56" t="n">
        <x:v>4</x:v>
      </x:c>
      <x:c r="G56" t="n">
        <x:v>3</x:v>
      </x:c>
      <x:c r="H56" t="str">
        <x:v>No</x:v>
      </x:c>
    </x:row>
    <x:row r="57">
      <x:c r="A57" t="str">
        <x:v>CUS-2056</x:v>
      </x:c>
      <x:c r="B57" t="n">
        <x:v>26</x:v>
      </x:c>
      <x:c r="C57" t="str">
        <x:v>Plus</x:v>
      </x:c>
      <x:c r="D57" t="str">
        <x:v>East</x:v>
      </x:c>
      <x:c r="E57" s="10" t="n">
        <x:v>92</x:v>
      </x:c>
      <x:c r="F57" t="n">
        <x:v>2</x:v>
      </x:c>
      <x:c r="G57" t="n">
        <x:v>1</x:v>
      </x:c>
      <x:c r="H57" t="str">
        <x:v>No</x:v>
      </x:c>
    </x:row>
    <x:row r="58">
      <x:c r="A58" t="str">
        <x:v>CUS-2057</x:v>
      </x:c>
      <x:c r="B58" t="n">
        <x:v>33</x:v>
      </x:c>
      <x:c r="C58" t="str">
        <x:v>Premium</x:v>
      </x:c>
      <x:c r="D58" t="str">
        <x:v>West</x:v>
      </x:c>
      <x:c r="E58" s="10" t="n">
        <x:v>103</x:v>
      </x:c>
      <x:c r="F58" t="n">
        <x:v>0</x:v>
      </x:c>
      <x:c r="G58" t="n">
        <x:v>4</x:v>
      </x:c>
      <x:c r="H58" t="str">
        <x:v>No</x:v>
      </x:c>
    </x:row>
    <x:row r="59">
      <x:c r="A59" t="str">
        <x:v>CUS-2058</x:v>
      </x:c>
      <x:c r="B59" t="n">
        <x:v>40</x:v>
      </x:c>
      <x:c r="C59" t="str">
        <x:v>Basic</x:v>
      </x:c>
      <x:c r="D59" t="str">
        <x:v>South</x:v>
      </x:c>
      <x:c r="E59" s="10" t="n">
        <x:v>114</x:v>
      </x:c>
      <x:c r="F59" t="n">
        <x:v>5</x:v>
      </x:c>
      <x:c r="G59" t="n">
        <x:v>2</x:v>
      </x:c>
      <x:c r="H59" t="str">
        <x:v>Yes</x:v>
      </x:c>
    </x:row>
    <x:row r="60">
      <x:c r="A60" t="str">
        <x:v>CUS-2059</x:v>
      </x:c>
      <x:c r="B60" t="n">
        <x:v>47</x:v>
      </x:c>
      <x:c r="C60" t="str">
        <x:v>Plus</x:v>
      </x:c>
      <x:c r="D60" t="str">
        <x:v>Central</x:v>
      </x:c>
      <x:c r="E60" s="10" t="n">
        <x:v>125</x:v>
      </x:c>
      <x:c r="F60" t="n">
        <x:v>3</x:v>
      </x:c>
      <x:c r="G60" t="n">
        <x:v>5</x:v>
      </x:c>
      <x:c r="H60" t="str">
        <x:v>No</x:v>
      </x:c>
    </x:row>
    <x:row r="61">
      <x:c r="A61" t="str">
        <x:v>CUS-2060</x:v>
      </x:c>
      <x:c r="B61" t="n">
        <x:v>54</x:v>
      </x:c>
      <x:c r="C61" t="str">
        <x:v>Premium</x:v>
      </x:c>
      <x:c r="D61" t="str">
        <x:v>East</x:v>
      </x:c>
      <x:c r="E61" s="10" t="n">
        <x:v>44</x:v>
      </x:c>
      <x:c r="F61" t="n">
        <x:v>1</x:v>
      </x:c>
      <x:c r="G61" t="n">
        <x:v>3</x:v>
      </x:c>
      <x:c r="H61" t="str">
        <x:v>No</x:v>
      </x:c>
    </x:row>
    <x:row r="62">
      <x:c r="A62" t="str">
        <x:v>CUS-2061</x:v>
      </x:c>
      <x:c r="B62" t="n">
        <x:v>1</x:v>
      </x:c>
      <x:c r="C62" t="str">
        <x:v>Basic</x:v>
      </x:c>
      <x:c r="D62" t="str">
        <x:v>West</x:v>
      </x:c>
      <x:c r="E62" s="10" t="n">
        <x:v>55</x:v>
      </x:c>
      <x:c r="F62" t="n">
        <x:v>6</x:v>
      </x:c>
      <x:c r="G62" t="n">
        <x:v>1</x:v>
      </x:c>
      <x:c r="H62" t="str">
        <x:v>Yes</x:v>
      </x:c>
    </x:row>
    <x:row r="63">
      <x:c r="A63" t="str">
        <x:v>CUS-2062</x:v>
      </x:c>
      <x:c r="B63" t="n">
        <x:v>8</x:v>
      </x:c>
      <x:c r="C63" t="str">
        <x:v>Plus</x:v>
      </x:c>
      <x:c r="D63" t="str">
        <x:v>South</x:v>
      </x:c>
      <x:c r="E63" s="10" t="n">
        <x:v>66</x:v>
      </x:c>
      <x:c r="F63" t="n">
        <x:v>4</x:v>
      </x:c>
      <x:c r="G63" t="n">
        <x:v>4</x:v>
      </x:c>
      <x:c r="H63" t="str">
        <x:v>Yes</x:v>
      </x:c>
    </x:row>
    <x:row r="64">
      <x:c r="A64" t="str">
        <x:v>CUS-2063</x:v>
      </x:c>
      <x:c r="B64" t="n">
        <x:v>15</x:v>
      </x:c>
      <x:c r="C64" t="str">
        <x:v>Premium</x:v>
      </x:c>
      <x:c r="D64" t="str">
        <x:v>Central</x:v>
      </x:c>
      <x:c r="E64" s="10" t="n">
        <x:v>77</x:v>
      </x:c>
      <x:c r="F64" t="n">
        <x:v>2</x:v>
      </x:c>
      <x:c r="G64" t="n">
        <x:v>2</x:v>
      </x:c>
      <x:c r="H64" t="str">
        <x:v>No</x:v>
      </x:c>
    </x:row>
    <x:row r="65">
      <x:c r="A65" t="str">
        <x:v>CUS-2064</x:v>
      </x:c>
      <x:c r="B65" t="n">
        <x:v>22</x:v>
      </x:c>
      <x:c r="C65" t="str">
        <x:v>Basic</x:v>
      </x:c>
      <x:c r="D65" t="str">
        <x:v>East</x:v>
      </x:c>
      <x:c r="E65" s="10" t="n">
        <x:v>88</x:v>
      </x:c>
      <x:c r="F65" t="n">
        <x:v>0</x:v>
      </x:c>
      <x:c r="G65" t="n">
        <x:v>5</x:v>
      </x:c>
      <x:c r="H65" t="str">
        <x:v>No</x:v>
      </x:c>
    </x:row>
    <x:row r="66">
      <x:c r="A66" t="str">
        <x:v>CUS-2065</x:v>
      </x:c>
      <x:c r="B66" t="n">
        <x:v>29</x:v>
      </x:c>
      <x:c r="C66" t="str">
        <x:v>Plus</x:v>
      </x:c>
      <x:c r="D66" t="str">
        <x:v>West</x:v>
      </x:c>
      <x:c r="E66" s="10" t="n">
        <x:v>99</x:v>
      </x:c>
      <x:c r="F66" t="n">
        <x:v>5</x:v>
      </x:c>
      <x:c r="G66" t="n">
        <x:v>3</x:v>
      </x:c>
      <x:c r="H66" t="str">
        <x:v>No</x:v>
      </x:c>
    </x:row>
    <x:row r="67">
      <x:c r="A67" t="str">
        <x:v>CUS-2066</x:v>
      </x:c>
      <x:c r="B67" t="n">
        <x:v>36</x:v>
      </x:c>
      <x:c r="C67" t="str">
        <x:v>Premium</x:v>
      </x:c>
      <x:c r="D67" t="str">
        <x:v>South</x:v>
      </x:c>
      <x:c r="E67" s="10" t="n">
        <x:v>110</x:v>
      </x:c>
      <x:c r="F67" t="n">
        <x:v>3</x:v>
      </x:c>
      <x:c r="G67" t="n">
        <x:v>1</x:v>
      </x:c>
      <x:c r="H67" t="str">
        <x:v>No</x:v>
      </x:c>
    </x:row>
    <x:row r="68">
      <x:c r="A68" t="str">
        <x:v>CUS-2067</x:v>
      </x:c>
      <x:c r="B68" t="n">
        <x:v>43</x:v>
      </x:c>
      <x:c r="C68" t="str">
        <x:v>Basic</x:v>
      </x:c>
      <x:c r="D68" t="str">
        <x:v>Central</x:v>
      </x:c>
      <x:c r="E68" s="10" t="n">
        <x:v>121</x:v>
      </x:c>
      <x:c r="F68" t="n">
        <x:v>1</x:v>
      </x:c>
      <x:c r="G68" t="n">
        <x:v>4</x:v>
      </x:c>
      <x:c r="H68" t="str">
        <x:v>No</x:v>
      </x:c>
    </x:row>
    <x:row r="69">
      <x:c r="A69" t="str">
        <x:v>CUS-2068</x:v>
      </x:c>
      <x:c r="B69" t="n">
        <x:v>50</x:v>
      </x:c>
      <x:c r="C69" t="str">
        <x:v>Plus</x:v>
      </x:c>
      <x:c r="D69" t="str">
        <x:v>East</x:v>
      </x:c>
      <x:c r="E69" s="10" t="n">
        <x:v>40</x:v>
      </x:c>
      <x:c r="F69" t="n">
        <x:v>6</x:v>
      </x:c>
      <x:c r="G69" t="n">
        <x:v>2</x:v>
      </x:c>
      <x:c r="H69" t="str">
        <x:v>No</x:v>
      </x:c>
    </x:row>
    <x:row r="70">
      <x:c r="A70" t="str">
        <x:v>CUS-2069</x:v>
      </x:c>
      <x:c r="B70" t="n">
        <x:v>57</x:v>
      </x:c>
      <x:c r="C70" t="str">
        <x:v>Premium</x:v>
      </x:c>
      <x:c r="D70" t="str">
        <x:v>West</x:v>
      </x:c>
      <x:c r="E70" s="10" t="n">
        <x:v>51</x:v>
      </x:c>
      <x:c r="F70" t="n">
        <x:v>4</x:v>
      </x:c>
      <x:c r="G70" t="n">
        <x:v>5</x:v>
      </x:c>
      <x:c r="H70" t="str">
        <x:v>No</x:v>
      </x:c>
    </x:row>
    <x:row r="71">
      <x:c r="A71" t="str">
        <x:v>CUS-2070</x:v>
      </x:c>
      <x:c r="B71" t="n">
        <x:v>4</x:v>
      </x:c>
      <x:c r="C71" t="str">
        <x:v>Basic</x:v>
      </x:c>
      <x:c r="D71" t="str">
        <x:v>South</x:v>
      </x:c>
      <x:c r="E71" s="10" t="n">
        <x:v>62</x:v>
      </x:c>
      <x:c r="F71" t="n">
        <x:v>2</x:v>
      </x:c>
      <x:c r="G71" t="n">
        <x:v>3</x:v>
      </x:c>
      <x:c r="H71" t="str">
        <x:v>No</x:v>
      </x:c>
    </x:row>
    <x:row r="72">
      <x:c r="A72" t="str">
        <x:v>CUS-2071</x:v>
      </x:c>
      <x:c r="B72" t="n">
        <x:v>11</x:v>
      </x:c>
      <x:c r="C72" t="str">
        <x:v>Plus</x:v>
      </x:c>
      <x:c r="D72" t="str">
        <x:v>Central</x:v>
      </x:c>
      <x:c r="E72" s="10" t="n">
        <x:v>73</x:v>
      </x:c>
      <x:c r="F72" t="n">
        <x:v>0</x:v>
      </x:c>
      <x:c r="G72" t="n">
        <x:v>1</x:v>
      </x:c>
      <x:c r="H72" t="str">
        <x:v>No</x:v>
      </x:c>
    </x:row>
    <x:row r="73">
      <x:c r="A73" t="str">
        <x:v>CUS-2072</x:v>
      </x:c>
      <x:c r="B73" t="n">
        <x:v>18</x:v>
      </x:c>
      <x:c r="C73" t="str">
        <x:v>Premium</x:v>
      </x:c>
      <x:c r="D73" t="str">
        <x:v>East</x:v>
      </x:c>
      <x:c r="E73" s="10" t="n">
        <x:v>84</x:v>
      </x:c>
      <x:c r="F73" t="n">
        <x:v>5</x:v>
      </x:c>
      <x:c r="G73" t="n">
        <x:v>4</x:v>
      </x:c>
      <x:c r="H73" t="str">
        <x:v>No</x:v>
      </x:c>
    </x:row>
    <x:row r="74">
      <x:c r="A74" t="str">
        <x:v>CUS-2073</x:v>
      </x:c>
      <x:c r="B74" t="n">
        <x:v>25</x:v>
      </x:c>
      <x:c r="C74" t="str">
        <x:v>Basic</x:v>
      </x:c>
      <x:c r="D74" t="str">
        <x:v>West</x:v>
      </x:c>
      <x:c r="E74" s="10" t="n">
        <x:v>95</x:v>
      </x:c>
      <x:c r="F74" t="n">
        <x:v>3</x:v>
      </x:c>
      <x:c r="G74" t="n">
        <x:v>2</x:v>
      </x:c>
      <x:c r="H74" t="str">
        <x:v>Yes</x:v>
      </x:c>
    </x:row>
    <x:row r="75">
      <x:c r="A75" t="str">
        <x:v>CUS-2074</x:v>
      </x:c>
      <x:c r="B75" t="n">
        <x:v>32</x:v>
      </x:c>
      <x:c r="C75" t="str">
        <x:v>Plus</x:v>
      </x:c>
      <x:c r="D75" t="str">
        <x:v>South</x:v>
      </x:c>
      <x:c r="E75" s="10" t="n">
        <x:v>106</x:v>
      </x:c>
      <x:c r="F75" t="n">
        <x:v>1</x:v>
      </x:c>
      <x:c r="G75" t="n">
        <x:v>5</x:v>
      </x:c>
      <x:c r="H75" t="str">
        <x:v>No</x:v>
      </x:c>
    </x:row>
    <x:row r="76">
      <x:c r="A76" t="str">
        <x:v>CUS-2075</x:v>
      </x:c>
      <x:c r="B76" t="n">
        <x:v>39</x:v>
      </x:c>
      <x:c r="C76" t="str">
        <x:v>Premium</x:v>
      </x:c>
      <x:c r="D76" t="str">
        <x:v>Central</x:v>
      </x:c>
      <x:c r="E76" s="10" t="n">
        <x:v>117</x:v>
      </x:c>
      <x:c r="F76" t="n">
        <x:v>6</x:v>
      </x:c>
      <x:c r="G76" t="n">
        <x:v>3</x:v>
      </x:c>
      <x:c r="H76" t="str">
        <x:v>No</x:v>
      </x:c>
    </x:row>
    <x:row r="77">
      <x:c r="A77" t="str">
        <x:v>CUS-2076</x:v>
      </x:c>
      <x:c r="B77" t="n">
        <x:v>46</x:v>
      </x:c>
      <x:c r="C77" t="str">
        <x:v>Basic</x:v>
      </x:c>
      <x:c r="D77" t="str">
        <x:v>East</x:v>
      </x:c>
      <x:c r="E77" s="10" t="n">
        <x:v>128</x:v>
      </x:c>
      <x:c r="F77" t="n">
        <x:v>4</x:v>
      </x:c>
      <x:c r="G77" t="n">
        <x:v>1</x:v>
      </x:c>
      <x:c r="H77" t="str">
        <x:v>Yes</x:v>
      </x:c>
    </x:row>
    <x:row r="78">
      <x:c r="A78" t="str">
        <x:v>CUS-2077</x:v>
      </x:c>
      <x:c r="B78" t="n">
        <x:v>53</x:v>
      </x:c>
      <x:c r="C78" t="str">
        <x:v>Plus</x:v>
      </x:c>
      <x:c r="D78" t="str">
        <x:v>West</x:v>
      </x:c>
      <x:c r="E78" s="10" t="n">
        <x:v>47</x:v>
      </x:c>
      <x:c r="F78" t="n">
        <x:v>2</x:v>
      </x:c>
      <x:c r="G78" t="n">
        <x:v>4</x:v>
      </x:c>
      <x:c r="H78" t="str">
        <x:v>No</x:v>
      </x:c>
    </x:row>
    <x:row r="79">
      <x:c r="A79" t="str">
        <x:v>CUS-2078</x:v>
      </x:c>
      <x:c r="B79" t="n">
        <x:v>60</x:v>
      </x:c>
      <x:c r="C79" t="str">
        <x:v>Premium</x:v>
      </x:c>
      <x:c r="D79" t="str">
        <x:v>South</x:v>
      </x:c>
      <x:c r="E79" s="10" t="n">
        <x:v>58</x:v>
      </x:c>
      <x:c r="F79" t="n">
        <x:v>0</x:v>
      </x:c>
      <x:c r="G79" t="n">
        <x:v>2</x:v>
      </x:c>
      <x:c r="H79" t="str">
        <x:v>No</x:v>
      </x:c>
    </x:row>
    <x:row r="80">
      <x:c r="A80" t="str">
        <x:v>CUS-2079</x:v>
      </x:c>
      <x:c r="B80" t="n">
        <x:v>7</x:v>
      </x:c>
      <x:c r="C80" t="str">
        <x:v>Basic</x:v>
      </x:c>
      <x:c r="D80" t="str">
        <x:v>Central</x:v>
      </x:c>
      <x:c r="E80" s="10" t="n">
        <x:v>69</x:v>
      </x:c>
      <x:c r="F80" t="n">
        <x:v>5</x:v>
      </x:c>
      <x:c r="G80" t="n">
        <x:v>5</x:v>
      </x:c>
      <x:c r="H80" t="str">
        <x:v>Yes</x:v>
      </x:c>
    </x:row>
    <x:row r="81">
      <x:c r="A81" t="str">
        <x:v>CUS-2080</x:v>
      </x:c>
      <x:c r="B81" t="n">
        <x:v>14</x:v>
      </x:c>
      <x:c r="C81" t="str">
        <x:v>Plus</x:v>
      </x:c>
      <x:c r="D81" t="str">
        <x:v>East</x:v>
      </x:c>
      <x:c r="E81" s="10" t="n">
        <x:v>80</x:v>
      </x:c>
      <x:c r="F81" t="n">
        <x:v>3</x:v>
      </x:c>
      <x:c r="G81" t="n">
        <x:v>3</x:v>
      </x:c>
      <x:c r="H81" t="str">
        <x:v>No</x:v>
      </x:c>
    </x:row>
    <x:row r="82">
      <x:c r="A82" t="str">
        <x:v>CUS-2081</x:v>
      </x:c>
      <x:c r="B82" t="n">
        <x:v>21</x:v>
      </x:c>
      <x:c r="C82" t="str">
        <x:v>Premium</x:v>
      </x:c>
      <x:c r="D82" t="str">
        <x:v>West</x:v>
      </x:c>
      <x:c r="E82" s="10" t="n">
        <x:v>91</x:v>
      </x:c>
      <x:c r="F82" t="n">
        <x:v>1</x:v>
      </x:c>
      <x:c r="G82" t="n">
        <x:v>1</x:v>
      </x:c>
      <x:c r="H82" t="str">
        <x:v>No</x:v>
      </x:c>
    </x:row>
    <x:row r="83">
      <x:c r="A83" t="str">
        <x:v>CUS-2082</x:v>
      </x:c>
      <x:c r="B83" t="n">
        <x:v>28</x:v>
      </x:c>
      <x:c r="C83" t="str">
        <x:v>Basic</x:v>
      </x:c>
      <x:c r="D83" t="str">
        <x:v>South</x:v>
      </x:c>
      <x:c r="E83" s="10" t="n">
        <x:v>102</x:v>
      </x:c>
      <x:c r="F83" t="n">
        <x:v>6</x:v>
      </x:c>
      <x:c r="G83" t="n">
        <x:v>4</x:v>
      </x:c>
      <x:c r="H83" t="str">
        <x:v>No</x:v>
      </x:c>
    </x:row>
    <x:row r="84">
      <x:c r="A84" t="str">
        <x:v>CUS-2083</x:v>
      </x:c>
      <x:c r="B84" t="n">
        <x:v>35</x:v>
      </x:c>
      <x:c r="C84" t="str">
        <x:v>Plus</x:v>
      </x:c>
      <x:c r="D84" t="str">
        <x:v>Central</x:v>
      </x:c>
      <x:c r="E84" s="10" t="n">
        <x:v>113</x:v>
      </x:c>
      <x:c r="F84" t="n">
        <x:v>4</x:v>
      </x:c>
      <x:c r="G84" t="n">
        <x:v>2</x:v>
      </x:c>
      <x:c r="H84" t="str">
        <x:v>No</x:v>
      </x:c>
    </x:row>
    <x:row r="85">
      <x:c r="A85" t="str">
        <x:v>CUS-2084</x:v>
      </x:c>
      <x:c r="B85" t="n">
        <x:v>42</x:v>
      </x:c>
      <x:c r="C85" t="str">
        <x:v>Premium</x:v>
      </x:c>
      <x:c r="D85" t="str">
        <x:v>East</x:v>
      </x:c>
      <x:c r="E85" s="10" t="n">
        <x:v>124</x:v>
      </x:c>
      <x:c r="F85" t="n">
        <x:v>2</x:v>
      </x:c>
      <x:c r="G85" t="n">
        <x:v>5</x:v>
      </x:c>
      <x:c r="H85" t="str">
        <x:v>No</x:v>
      </x:c>
    </x:row>
    <x:row r="86">
      <x:c r="A86" t="str">
        <x:v>CUS-2085</x:v>
      </x:c>
      <x:c r="B86" t="n">
        <x:v>49</x:v>
      </x:c>
      <x:c r="C86" t="str">
        <x:v>Basic</x:v>
      </x:c>
      <x:c r="D86" t="str">
        <x:v>West</x:v>
      </x:c>
      <x:c r="E86" s="10" t="n">
        <x:v>43</x:v>
      </x:c>
      <x:c r="F86" t="n">
        <x:v>0</x:v>
      </x:c>
      <x:c r="G86" t="n">
        <x:v>3</x:v>
      </x:c>
      <x:c r="H86" t="str">
        <x:v>No</x:v>
      </x:c>
    </x:row>
    <x:row r="87">
      <x:c r="A87" t="str">
        <x:v>CUS-2086</x:v>
      </x:c>
      <x:c r="B87" t="n">
        <x:v>56</x:v>
      </x:c>
      <x:c r="C87" t="str">
        <x:v>Plus</x:v>
      </x:c>
      <x:c r="D87" t="str">
        <x:v>South</x:v>
      </x:c>
      <x:c r="E87" s="10" t="n">
        <x:v>54</x:v>
      </x:c>
      <x:c r="F87" t="n">
        <x:v>5</x:v>
      </x:c>
      <x:c r="G87" t="n">
        <x:v>1</x:v>
      </x:c>
      <x:c r="H87" t="str">
        <x:v>No</x:v>
      </x:c>
    </x:row>
    <x:row r="88">
      <x:c r="A88" t="str">
        <x:v>CUS-2087</x:v>
      </x:c>
      <x:c r="B88" t="n">
        <x:v>3</x:v>
      </x:c>
      <x:c r="C88" t="str">
        <x:v>Premium</x:v>
      </x:c>
      <x:c r="D88" t="str">
        <x:v>Central</x:v>
      </x:c>
      <x:c r="E88" s="10" t="n">
        <x:v>65</x:v>
      </x:c>
      <x:c r="F88" t="n">
        <x:v>3</x:v>
      </x:c>
      <x:c r="G88" t="n">
        <x:v>4</x:v>
      </x:c>
      <x:c r="H88" t="str">
        <x:v>No</x:v>
      </x:c>
    </x:row>
    <x:row r="89">
      <x:c r="A89" t="str">
        <x:v>CUS-2088</x:v>
      </x:c>
      <x:c r="B89" t="n">
        <x:v>10</x:v>
      </x:c>
      <x:c r="C89" t="str">
        <x:v>Basic</x:v>
      </x:c>
      <x:c r="D89" t="str">
        <x:v>East</x:v>
      </x:c>
      <x:c r="E89" s="10" t="n">
        <x:v>76</x:v>
      </x:c>
      <x:c r="F89" t="n">
        <x:v>1</x:v>
      </x:c>
      <x:c r="G89" t="n">
        <x:v>2</x:v>
      </x:c>
      <x:c r="H89" t="str">
        <x:v>Yes</x:v>
      </x:c>
    </x:row>
    <x:row r="90">
      <x:c r="A90" t="str">
        <x:v>CUS-2089</x:v>
      </x:c>
      <x:c r="B90" t="n">
        <x:v>17</x:v>
      </x:c>
      <x:c r="C90" t="str">
        <x:v>Plus</x:v>
      </x:c>
      <x:c r="D90" t="str">
        <x:v>West</x:v>
      </x:c>
      <x:c r="E90" s="10" t="n">
        <x:v>87</x:v>
      </x:c>
      <x:c r="F90" t="n">
        <x:v>6</x:v>
      </x:c>
      <x:c r="G90" t="n">
        <x:v>5</x:v>
      </x:c>
      <x:c r="H90" t="str">
        <x:v>No</x:v>
      </x:c>
    </x:row>
    <x:row r="91">
      <x:c r="A91" t="str">
        <x:v>CUS-2090</x:v>
      </x:c>
      <x:c r="B91" t="n">
        <x:v>24</x:v>
      </x:c>
      <x:c r="C91" t="str">
        <x:v>Premium</x:v>
      </x:c>
      <x:c r="D91" t="str">
        <x:v>South</x:v>
      </x:c>
      <x:c r="E91" s="10" t="n">
        <x:v>98</x:v>
      </x:c>
      <x:c r="F91" t="n">
        <x:v>4</x:v>
      </x:c>
      <x:c r="G91" t="n">
        <x:v>3</x:v>
      </x:c>
      <x:c r="H91" t="str">
        <x:v>No</x:v>
      </x:c>
    </x:row>
    <x:row r="92">
      <x:c r="A92" t="str">
        <x:v>CUS-2091</x:v>
      </x:c>
      <x:c r="B92" t="n">
        <x:v>31</x:v>
      </x:c>
      <x:c r="C92" t="str">
        <x:v>Basic</x:v>
      </x:c>
      <x:c r="D92" t="str">
        <x:v>Central</x:v>
      </x:c>
      <x:c r="E92" s="10" t="n">
        <x:v>109</x:v>
      </x:c>
      <x:c r="F92" t="n">
        <x:v>2</x:v>
      </x:c>
      <x:c r="G92" t="n">
        <x:v>1</x:v>
      </x:c>
      <x:c r="H92" t="str">
        <x:v>Yes</x:v>
      </x:c>
    </x:row>
    <x:row r="93">
      <x:c r="A93" t="str">
        <x:v>CUS-2092</x:v>
      </x:c>
      <x:c r="B93" t="n">
        <x:v>38</x:v>
      </x:c>
      <x:c r="C93" t="str">
        <x:v>Plus</x:v>
      </x:c>
      <x:c r="D93" t="str">
        <x:v>East</x:v>
      </x:c>
      <x:c r="E93" s="10" t="n">
        <x:v>120</x:v>
      </x:c>
      <x:c r="F93" t="n">
        <x:v>0</x:v>
      </x:c>
      <x:c r="G93" t="n">
        <x:v>4</x:v>
      </x:c>
      <x:c r="H93" t="str">
        <x:v>No</x:v>
      </x:c>
    </x:row>
    <x:row r="94">
      <x:c r="A94" t="str">
        <x:v>CUS-2093</x:v>
      </x:c>
      <x:c r="B94" t="n">
        <x:v>45</x:v>
      </x:c>
      <x:c r="C94" t="str">
        <x:v>Premium</x:v>
      </x:c>
      <x:c r="D94" t="str">
        <x:v>West</x:v>
      </x:c>
      <x:c r="E94" s="10" t="n">
        <x:v>39</x:v>
      </x:c>
      <x:c r="F94" t="n">
        <x:v>5</x:v>
      </x:c>
      <x:c r="G94" t="n">
        <x:v>2</x:v>
      </x:c>
      <x:c r="H94" t="str">
        <x:v>No</x:v>
      </x:c>
    </x:row>
    <x:row r="95">
      <x:c r="A95" t="str">
        <x:v>CUS-2094</x:v>
      </x:c>
      <x:c r="B95" t="n">
        <x:v>52</x:v>
      </x:c>
      <x:c r="C95" t="str">
        <x:v>Basic</x:v>
      </x:c>
      <x:c r="D95" t="str">
        <x:v>South</x:v>
      </x:c>
      <x:c r="E95" s="10" t="n">
        <x:v>50</x:v>
      </x:c>
      <x:c r="F95" t="n">
        <x:v>3</x:v>
      </x:c>
      <x:c r="G95" t="n">
        <x:v>5</x:v>
      </x:c>
      <x:c r="H95" t="str">
        <x:v>No</x:v>
      </x:c>
    </x:row>
    <x:row r="96">
      <x:c r="A96" t="str">
        <x:v>CUS-2095</x:v>
      </x:c>
      <x:c r="B96" t="n">
        <x:v>59</x:v>
      </x:c>
      <x:c r="C96" t="str">
        <x:v>Plus</x:v>
      </x:c>
      <x:c r="D96" t="str">
        <x:v>Central</x:v>
      </x:c>
      <x:c r="E96" s="10" t="n">
        <x:v>61</x:v>
      </x:c>
      <x:c r="F96" t="n">
        <x:v>1</x:v>
      </x:c>
      <x:c r="G96" t="n">
        <x:v>3</x:v>
      </x:c>
      <x:c r="H96" t="str">
        <x:v>No</x:v>
      </x:c>
    </x:row>
    <x:row r="97">
      <x:c r="A97" t="str">
        <x:v>CUS-2096</x:v>
      </x:c>
      <x:c r="B97" t="n">
        <x:v>6</x:v>
      </x:c>
      <x:c r="C97" t="str">
        <x:v>Premium</x:v>
      </x:c>
      <x:c r="D97" t="str">
        <x:v>East</x:v>
      </x:c>
      <x:c r="E97" s="10" t="n">
        <x:v>72</x:v>
      </x:c>
      <x:c r="F97" t="n">
        <x:v>6</x:v>
      </x:c>
      <x:c r="G97" t="n">
        <x:v>1</x:v>
      </x:c>
      <x:c r="H97" t="str">
        <x:v>Yes</x:v>
      </x:c>
    </x:row>
    <x:row r="98">
      <x:c r="A98" t="str">
        <x:v>CUS-2097</x:v>
      </x:c>
      <x:c r="B98" t="n">
        <x:v>13</x:v>
      </x:c>
      <x:c r="C98" t="str">
        <x:v>Basic</x:v>
      </x:c>
      <x:c r="D98" t="str">
        <x:v>West</x:v>
      </x:c>
      <x:c r="E98" s="10" t="n">
        <x:v>83</x:v>
      </x:c>
      <x:c r="F98" t="n">
        <x:v>4</x:v>
      </x:c>
      <x:c r="G98" t="n">
        <x:v>4</x:v>
      </x:c>
      <x:c r="H98" t="str">
        <x:v>No</x:v>
      </x:c>
    </x:row>
    <x:row r="99">
      <x:c r="A99" t="str">
        <x:v>CUS-2098</x:v>
      </x:c>
      <x:c r="B99" t="n">
        <x:v>20</x:v>
      </x:c>
      <x:c r="C99" t="str">
        <x:v>Plus</x:v>
      </x:c>
      <x:c r="D99" t="str">
        <x:v>South</x:v>
      </x:c>
      <x:c r="E99" s="10" t="n">
        <x:v>94</x:v>
      </x:c>
      <x:c r="F99" t="n">
        <x:v>2</x:v>
      </x:c>
      <x:c r="G99" t="n">
        <x:v>2</x:v>
      </x:c>
      <x:c r="H99" t="str">
        <x:v>No</x:v>
      </x:c>
    </x:row>
    <x:row r="100">
      <x:c r="A100" t="str">
        <x:v>CUS-2099</x:v>
      </x:c>
      <x:c r="B100" t="n">
        <x:v>27</x:v>
      </x:c>
      <x:c r="C100" t="str">
        <x:v>Premium</x:v>
      </x:c>
      <x:c r="D100" t="str">
        <x:v>Central</x:v>
      </x:c>
      <x:c r="E100" s="10" t="n">
        <x:v>105</x:v>
      </x:c>
      <x:c r="F100" t="n">
        <x:v>0</x:v>
      </x:c>
      <x:c r="G100" t="n">
        <x:v>5</x:v>
      </x:c>
      <x:c r="H100" t="str">
        <x:v>No</x:v>
      </x:c>
    </x:row>
    <x:row r="101">
      <x:c r="A101" t="str">
        <x:v>CUS-2100</x:v>
      </x:c>
      <x:c r="B101" t="n">
        <x:v>34</x:v>
      </x:c>
      <x:c r="C101" t="str">
        <x:v>Basic</x:v>
      </x:c>
      <x:c r="D101" t="str">
        <x:v>East</x:v>
      </x:c>
      <x:c r="E101" s="10" t="n">
        <x:v>116</x:v>
      </x:c>
      <x:c r="F101" t="n">
        <x:v>5</x:v>
      </x:c>
      <x:c r="G101" t="n">
        <x:v>3</x:v>
      </x:c>
      <x:c r="H101" t="str">
        <x:v>No</x:v>
      </x:c>
    </x:row>
    <x:row r="102">
      <x:c r="A102" t="str">
        <x:v>CUS-2101</x:v>
      </x:c>
      <x:c r="B102" t="n">
        <x:v>41</x:v>
      </x:c>
      <x:c r="C102" t="str">
        <x:v>Plus</x:v>
      </x:c>
      <x:c r="D102" t="str">
        <x:v>West</x:v>
      </x:c>
      <x:c r="E102" s="10" t="n">
        <x:v>127</x:v>
      </x:c>
      <x:c r="F102" t="n">
        <x:v>3</x:v>
      </x:c>
      <x:c r="G102" t="n">
        <x:v>1</x:v>
      </x:c>
      <x:c r="H102" t="str">
        <x:v>No</x:v>
      </x:c>
    </x:row>
    <x:row r="103">
      <x:c r="A103" t="str">
        <x:v>CUS-2102</x:v>
      </x:c>
      <x:c r="B103" t="n">
        <x:v>48</x:v>
      </x:c>
      <x:c r="C103" t="str">
        <x:v>Premium</x:v>
      </x:c>
      <x:c r="D103" t="str">
        <x:v>South</x:v>
      </x:c>
      <x:c r="E103" s="10" t="n">
        <x:v>46</x:v>
      </x:c>
      <x:c r="F103" t="n">
        <x:v>1</x:v>
      </x:c>
      <x:c r="G103" t="n">
        <x:v>4</x:v>
      </x:c>
      <x:c r="H103" t="str">
        <x:v>No</x:v>
      </x:c>
    </x:row>
    <x:row r="104">
      <x:c r="A104" t="str">
        <x:v>CUS-2103</x:v>
      </x:c>
      <x:c r="B104" t="n">
        <x:v>55</x:v>
      </x:c>
      <x:c r="C104" t="str">
        <x:v>Basic</x:v>
      </x:c>
      <x:c r="D104" t="str">
        <x:v>Central</x:v>
      </x:c>
      <x:c r="E104" s="10" t="n">
        <x:v>57</x:v>
      </x:c>
      <x:c r="F104" t="n">
        <x:v>6</x:v>
      </x:c>
      <x:c r="G104" t="n">
        <x:v>2</x:v>
      </x:c>
      <x:c r="H104" t="str">
        <x:v>Yes</x:v>
      </x:c>
    </x:row>
    <x:row r="105">
      <x:c r="A105" t="str">
        <x:v>CUS-2104</x:v>
      </x:c>
      <x:c r="B105" t="n">
        <x:v>2</x:v>
      </x:c>
      <x:c r="C105" t="str">
        <x:v>Plus</x:v>
      </x:c>
      <x:c r="D105" t="str">
        <x:v>East</x:v>
      </x:c>
      <x:c r="E105" s="10" t="n">
        <x:v>68</x:v>
      </x:c>
      <x:c r="F105" t="n">
        <x:v>4</x:v>
      </x:c>
      <x:c r="G105" t="n">
        <x:v>5</x:v>
      </x:c>
      <x:c r="H105" t="str">
        <x:v>Yes</x:v>
      </x:c>
    </x:row>
    <x:row r="106">
      <x:c r="A106" t="str">
        <x:v>CUS-2105</x:v>
      </x:c>
      <x:c r="B106" t="n">
        <x:v>9</x:v>
      </x:c>
      <x:c r="C106" t="str">
        <x:v>Premium</x:v>
      </x:c>
      <x:c r="D106" t="str">
        <x:v>West</x:v>
      </x:c>
      <x:c r="E106" s="10" t="n">
        <x:v>79</x:v>
      </x:c>
      <x:c r="F106" t="n">
        <x:v>2</x:v>
      </x:c>
      <x:c r="G106" t="n">
        <x:v>3</x:v>
      </x:c>
      <x:c r="H106" t="str">
        <x:v>No</x:v>
      </x:c>
    </x:row>
    <x:row r="107">
      <x:c r="A107" t="str">
        <x:v>CUS-2106</x:v>
      </x:c>
      <x:c r="B107" t="n">
        <x:v>16</x:v>
      </x:c>
      <x:c r="C107" t="str">
        <x:v>Basic</x:v>
      </x:c>
      <x:c r="D107" t="str">
        <x:v>South</x:v>
      </x:c>
      <x:c r="E107" s="10" t="n">
        <x:v>90</x:v>
      </x:c>
      <x:c r="F107" t="n">
        <x:v>0</x:v>
      </x:c>
      <x:c r="G107" t="n">
        <x:v>1</x:v>
      </x:c>
      <x:c r="H107" t="str">
        <x:v>Yes</x:v>
      </x:c>
    </x:row>
    <x:row r="108">
      <x:c r="A108" t="str">
        <x:v>CUS-2107</x:v>
      </x:c>
      <x:c r="B108" t="n">
        <x:v>23</x:v>
      </x:c>
      <x:c r="C108" t="str">
        <x:v>Plus</x:v>
      </x:c>
      <x:c r="D108" t="str">
        <x:v>Central</x:v>
      </x:c>
      <x:c r="E108" s="10" t="n">
        <x:v>101</x:v>
      </x:c>
      <x:c r="F108" t="n">
        <x:v>5</x:v>
      </x:c>
      <x:c r="G108" t="n">
        <x:v>4</x:v>
      </x:c>
      <x:c r="H108" t="str">
        <x:v>No</x:v>
      </x:c>
    </x:row>
    <x:row r="109">
      <x:c r="A109" t="str">
        <x:v>CUS-2108</x:v>
      </x:c>
      <x:c r="B109" t="n">
        <x:v>30</x:v>
      </x:c>
      <x:c r="C109" t="str">
        <x:v>Premium</x:v>
      </x:c>
      <x:c r="D109" t="str">
        <x:v>East</x:v>
      </x:c>
      <x:c r="E109" s="10" t="n">
        <x:v>112</x:v>
      </x:c>
      <x:c r="F109" t="n">
        <x:v>3</x:v>
      </x:c>
      <x:c r="G109" t="n">
        <x:v>2</x:v>
      </x:c>
      <x:c r="H109" t="str">
        <x:v>No</x:v>
      </x:c>
    </x:row>
    <x:row r="110">
      <x:c r="A110" t="str">
        <x:v>CUS-2109</x:v>
      </x:c>
      <x:c r="B110" t="n">
        <x:v>37</x:v>
      </x:c>
      <x:c r="C110" t="str">
        <x:v>Basic</x:v>
      </x:c>
      <x:c r="D110" t="str">
        <x:v>West</x:v>
      </x:c>
      <x:c r="E110" s="10" t="n">
        <x:v>123</x:v>
      </x:c>
      <x:c r="F110" t="n">
        <x:v>1</x:v>
      </x:c>
      <x:c r="G110" t="n">
        <x:v>5</x:v>
      </x:c>
      <x:c r="H110" t="str">
        <x:v>No</x:v>
      </x:c>
    </x:row>
    <x:row r="111">
      <x:c r="A111" t="str">
        <x:v>CUS-2110</x:v>
      </x:c>
      <x:c r="B111" t="n">
        <x:v>44</x:v>
      </x:c>
      <x:c r="C111" t="str">
        <x:v>Plus</x:v>
      </x:c>
      <x:c r="D111" t="str">
        <x:v>South</x:v>
      </x:c>
      <x:c r="E111" s="10" t="n">
        <x:v>42</x:v>
      </x:c>
      <x:c r="F111" t="n">
        <x:v>6</x:v>
      </x:c>
      <x:c r="G111" t="n">
        <x:v>3</x:v>
      </x:c>
      <x:c r="H111" t="str">
        <x:v>No</x:v>
      </x:c>
    </x:row>
    <x:row r="112">
      <x:c r="A112" t="str">
        <x:v>CUS-2111</x:v>
      </x:c>
      <x:c r="B112" t="n">
        <x:v>51</x:v>
      </x:c>
      <x:c r="C112" t="str">
        <x:v>Premium</x:v>
      </x:c>
      <x:c r="D112" t="str">
        <x:v>Central</x:v>
      </x:c>
      <x:c r="E112" s="10" t="n">
        <x:v>53</x:v>
      </x:c>
      <x:c r="F112" t="n">
        <x:v>4</x:v>
      </x:c>
      <x:c r="G112" t="n">
        <x:v>1</x:v>
      </x:c>
      <x:c r="H112" t="str">
        <x:v>No</x:v>
      </x:c>
    </x:row>
    <x:row r="113">
      <x:c r="A113" t="str">
        <x:v>CUS-2112</x:v>
      </x:c>
      <x:c r="B113" t="n">
        <x:v>58</x:v>
      </x:c>
      <x:c r="C113" t="str">
        <x:v>Basic</x:v>
      </x:c>
      <x:c r="D113" t="str">
        <x:v>East</x:v>
      </x:c>
      <x:c r="E113" s="10" t="n">
        <x:v>64</x:v>
      </x:c>
      <x:c r="F113" t="n">
        <x:v>2</x:v>
      </x:c>
      <x:c r="G113" t="n">
        <x:v>4</x:v>
      </x:c>
      <x:c r="H113" t="str">
        <x:v>No</x:v>
      </x:c>
    </x:row>
    <x:row r="114">
      <x:c r="A114" t="str">
        <x:v>CUS-2113</x:v>
      </x:c>
      <x:c r="B114" t="n">
        <x:v>5</x:v>
      </x:c>
      <x:c r="C114" t="str">
        <x:v>Plus</x:v>
      </x:c>
      <x:c r="D114" t="str">
        <x:v>West</x:v>
      </x:c>
      <x:c r="E114" s="10" t="n">
        <x:v>75</x:v>
      </x:c>
      <x:c r="F114" t="n">
        <x:v>0</x:v>
      </x:c>
      <x:c r="G114" t="n">
        <x:v>2</x:v>
      </x:c>
      <x:c r="H114" t="str">
        <x:v>No</x:v>
      </x:c>
    </x:row>
    <x:row r="115">
      <x:c r="A115" t="str">
        <x:v>CUS-2114</x:v>
      </x:c>
      <x:c r="B115" t="n">
        <x:v>12</x:v>
      </x:c>
      <x:c r="C115" t="str">
        <x:v>Premium</x:v>
      </x:c>
      <x:c r="D115" t="str">
        <x:v>South</x:v>
      </x:c>
      <x:c r="E115" s="10" t="n">
        <x:v>86</x:v>
      </x:c>
      <x:c r="F115" t="n">
        <x:v>5</x:v>
      </x:c>
      <x:c r="G115" t="n">
        <x:v>5</x:v>
      </x:c>
      <x:c r="H115" t="str">
        <x:v>No</x:v>
      </x:c>
    </x:row>
    <x:row r="116">
      <x:c r="A116" t="str">
        <x:v>CUS-2115</x:v>
      </x:c>
      <x:c r="B116" t="n">
        <x:v>19</x:v>
      </x:c>
      <x:c r="C116" t="str">
        <x:v>Basic</x:v>
      </x:c>
      <x:c r="D116" t="str">
        <x:v>Central</x:v>
      </x:c>
      <x:c r="E116" s="10" t="n">
        <x:v>97</x:v>
      </x:c>
      <x:c r="F116" t="n">
        <x:v>3</x:v>
      </x:c>
      <x:c r="G116" t="n">
        <x:v>3</x:v>
      </x:c>
      <x:c r="H116" t="str">
        <x:v>No</x:v>
      </x:c>
    </x:row>
    <x:row r="117">
      <x:c r="A117" t="str">
        <x:v>CUS-2116</x:v>
      </x:c>
      <x:c r="B117" t="n">
        <x:v>26</x:v>
      </x:c>
      <x:c r="C117" t="str">
        <x:v>Plus</x:v>
      </x:c>
      <x:c r="D117" t="str">
        <x:v>East</x:v>
      </x:c>
      <x:c r="E117" s="10" t="n">
        <x:v>108</x:v>
      </x:c>
      <x:c r="F117" t="n">
        <x:v>1</x:v>
      </x:c>
      <x:c r="G117" t="n">
        <x:v>1</x:v>
      </x:c>
      <x:c r="H117" t="str">
        <x:v>No</x:v>
      </x:c>
    </x:row>
    <x:row r="118">
      <x:c r="A118" t="str">
        <x:v>CUS-2117</x:v>
      </x:c>
      <x:c r="B118" t="n">
        <x:v>33</x:v>
      </x:c>
      <x:c r="C118" t="str">
        <x:v>Premium</x:v>
      </x:c>
      <x:c r="D118" t="str">
        <x:v>West</x:v>
      </x:c>
      <x:c r="E118" s="10" t="n">
        <x:v>119</x:v>
      </x:c>
      <x:c r="F118" t="n">
        <x:v>6</x:v>
      </x:c>
      <x:c r="G118" t="n">
        <x:v>4</x:v>
      </x:c>
      <x:c r="H118" t="str">
        <x:v>No</x:v>
      </x:c>
    </x:row>
    <x:row r="119">
      <x:c r="A119" t="str">
        <x:v>CUS-2118</x:v>
      </x:c>
      <x:c r="B119" t="n">
        <x:v>40</x:v>
      </x:c>
      <x:c r="C119" t="str">
        <x:v>Basic</x:v>
      </x:c>
      <x:c r="D119" t="str">
        <x:v>South</x:v>
      </x:c>
      <x:c r="E119" s="10" t="n">
        <x:v>130</x:v>
      </x:c>
      <x:c r="F119" t="n">
        <x:v>4</x:v>
      </x:c>
      <x:c r="G119" t="n">
        <x:v>2</x:v>
      </x:c>
      <x:c r="H119" t="str">
        <x:v>Yes</x:v>
      </x:c>
    </x:row>
    <x:row r="120">
      <x:c r="A120" t="str">
        <x:v>CUS-2119</x:v>
      </x:c>
      <x:c r="B120" t="n">
        <x:v>47</x:v>
      </x:c>
      <x:c r="C120" t="str">
        <x:v>Plus</x:v>
      </x:c>
      <x:c r="D120" t="str">
        <x:v>Central</x:v>
      </x:c>
      <x:c r="E120" s="10" t="n">
        <x:v>49</x:v>
      </x:c>
      <x:c r="F120" t="n">
        <x:v>2</x:v>
      </x:c>
      <x:c r="G120" t="n">
        <x:v>5</x:v>
      </x:c>
      <x:c r="H120" t="str">
        <x:v>No</x:v>
      </x:c>
    </x:row>
    <x:row r="121">
      <x:c r="A121" t="str">
        <x:v>CUS-2120</x:v>
      </x:c>
      <x:c r="B121" t="n">
        <x:v>54</x:v>
      </x:c>
      <x:c r="C121" t="str">
        <x:v>Premium</x:v>
      </x:c>
      <x:c r="D121" t="str">
        <x:v>East</x:v>
      </x:c>
      <x:c r="E121" s="10" t="n">
        <x:v>60</x:v>
      </x:c>
      <x:c r="F121" t="n">
        <x:v>0</x:v>
      </x:c>
      <x:c r="G121" t="n">
        <x:v>3</x:v>
      </x:c>
      <x:c r="H121" t="str">
        <x:v>No</x:v>
      </x:c>
    </x:row>
    <x:row r="122">
      <x:c r="A122" t="str">
        <x:v>CUS-2121</x:v>
      </x:c>
      <x:c r="B122" t="n">
        <x:v>1</x:v>
      </x:c>
      <x:c r="C122" t="str">
        <x:v>Basic</x:v>
      </x:c>
      <x:c r="D122" t="str">
        <x:v>West</x:v>
      </x:c>
      <x:c r="E122" s="10" t="n">
        <x:v>71</x:v>
      </x:c>
      <x:c r="F122" t="n">
        <x:v>5</x:v>
      </x:c>
      <x:c r="G122" t="n">
        <x:v>1</x:v>
      </x:c>
      <x:c r="H122" t="str">
        <x:v>Yes</x:v>
      </x:c>
    </x:row>
    <x:row r="123">
      <x:c r="A123" t="str">
        <x:v>CUS-2122</x:v>
      </x:c>
      <x:c r="B123" t="n">
        <x:v>8</x:v>
      </x:c>
      <x:c r="C123" t="str">
        <x:v>Plus</x:v>
      </x:c>
      <x:c r="D123" t="str">
        <x:v>South</x:v>
      </x:c>
      <x:c r="E123" s="10" t="n">
        <x:v>82</x:v>
      </x:c>
      <x:c r="F123" t="n">
        <x:v>3</x:v>
      </x:c>
      <x:c r="G123" t="n">
        <x:v>4</x:v>
      </x:c>
      <x:c r="H123" t="str">
        <x:v>No</x:v>
      </x:c>
    </x:row>
    <x:row r="124">
      <x:c r="A124" t="str">
        <x:v>CUS-2123</x:v>
      </x:c>
      <x:c r="B124" t="n">
        <x:v>15</x:v>
      </x:c>
      <x:c r="C124" t="str">
        <x:v>Premium</x:v>
      </x:c>
      <x:c r="D124" t="str">
        <x:v>Central</x:v>
      </x:c>
      <x:c r="E124" s="10" t="n">
        <x:v>93</x:v>
      </x:c>
      <x:c r="F124" t="n">
        <x:v>1</x:v>
      </x:c>
      <x:c r="G124" t="n">
        <x:v>2</x:v>
      </x:c>
      <x:c r="H124" t="str">
        <x:v>No</x:v>
      </x:c>
    </x:row>
    <x:row r="125">
      <x:c r="A125" t="str">
        <x:v>CUS-2124</x:v>
      </x:c>
      <x:c r="B125" t="n">
        <x:v>22</x:v>
      </x:c>
      <x:c r="C125" t="str">
        <x:v>Basic</x:v>
      </x:c>
      <x:c r="D125" t="str">
        <x:v>East</x:v>
      </x:c>
      <x:c r="E125" s="10" t="n">
        <x:v>104</x:v>
      </x:c>
      <x:c r="F125" t="n">
        <x:v>6</x:v>
      </x:c>
      <x:c r="G125" t="n">
        <x:v>5</x:v>
      </x:c>
      <x:c r="H125" t="str">
        <x:v>No</x:v>
      </x:c>
    </x:row>
    <x:row r="126">
      <x:c r="A126" t="str">
        <x:v>CUS-2125</x:v>
      </x:c>
      <x:c r="B126" t="n">
        <x:v>29</x:v>
      </x:c>
      <x:c r="C126" t="str">
        <x:v>Plus</x:v>
      </x:c>
      <x:c r="D126" t="str">
        <x:v>West</x:v>
      </x:c>
      <x:c r="E126" s="10" t="n">
        <x:v>115</x:v>
      </x:c>
      <x:c r="F126" t="n">
        <x:v>4</x:v>
      </x:c>
      <x:c r="G126" t="n">
        <x:v>3</x:v>
      </x:c>
      <x:c r="H126" t="str">
        <x:v>No</x:v>
      </x:c>
    </x:row>
    <x:row r="127">
      <x:c r="A127" t="str">
        <x:v>CUS-2126</x:v>
      </x:c>
      <x:c r="B127" t="n">
        <x:v>36</x:v>
      </x:c>
      <x:c r="C127" t="str">
        <x:v>Premium</x:v>
      </x:c>
      <x:c r="D127" t="str">
        <x:v>South</x:v>
      </x:c>
      <x:c r="E127" s="10" t="n">
        <x:v>126</x:v>
      </x:c>
      <x:c r="F127" t="n">
        <x:v>2</x:v>
      </x:c>
      <x:c r="G127" t="n">
        <x:v>1</x:v>
      </x:c>
      <x:c r="H127" t="str">
        <x:v>No</x:v>
      </x:c>
    </x:row>
    <x:row r="128">
      <x:c r="A128" t="str">
        <x:v>CUS-2127</x:v>
      </x:c>
      <x:c r="B128" t="n">
        <x:v>43</x:v>
      </x:c>
      <x:c r="C128" t="str">
        <x:v>Basic</x:v>
      </x:c>
      <x:c r="D128" t="str">
        <x:v>Central</x:v>
      </x:c>
      <x:c r="E128" s="10" t="n">
        <x:v>45</x:v>
      </x:c>
      <x:c r="F128" t="n">
        <x:v>0</x:v>
      </x:c>
      <x:c r="G128" t="n">
        <x:v>4</x:v>
      </x:c>
      <x:c r="H128" t="str">
        <x:v>No</x:v>
      </x:c>
    </x:row>
    <x:row r="129">
      <x:c r="A129" t="str">
        <x:v>CUS-2128</x:v>
      </x:c>
      <x:c r="B129" t="n">
        <x:v>50</x:v>
      </x:c>
      <x:c r="C129" t="str">
        <x:v>Plus</x:v>
      </x:c>
      <x:c r="D129" t="str">
        <x:v>East</x:v>
      </x:c>
      <x:c r="E129" s="10" t="n">
        <x:v>56</x:v>
      </x:c>
      <x:c r="F129" t="n">
        <x:v>5</x:v>
      </x:c>
      <x:c r="G129" t="n">
        <x:v>2</x:v>
      </x:c>
      <x:c r="H129" t="str">
        <x:v>No</x:v>
      </x:c>
    </x:row>
    <x:row r="130">
      <x:c r="A130" t="str">
        <x:v>CUS-2129</x:v>
      </x:c>
      <x:c r="B130" t="n">
        <x:v>57</x:v>
      </x:c>
      <x:c r="C130" t="str">
        <x:v>Premium</x:v>
      </x:c>
      <x:c r="D130" t="str">
        <x:v>West</x:v>
      </x:c>
      <x:c r="E130" s="10" t="n">
        <x:v>67</x:v>
      </x:c>
      <x:c r="F130" t="n">
        <x:v>3</x:v>
      </x:c>
      <x:c r="G130" t="n">
        <x:v>5</x:v>
      </x:c>
      <x:c r="H130" t="str">
        <x:v>No</x:v>
      </x:c>
    </x:row>
    <x:row r="131">
      <x:c r="A131" t="str">
        <x:v>CUS-2130</x:v>
      </x:c>
      <x:c r="B131" t="n">
        <x:v>4</x:v>
      </x:c>
      <x:c r="C131" t="str">
        <x:v>Basic</x:v>
      </x:c>
      <x:c r="D131" t="str">
        <x:v>South</x:v>
      </x:c>
      <x:c r="E131" s="10" t="n">
        <x:v>78</x:v>
      </x:c>
      <x:c r="F131" t="n">
        <x:v>1</x:v>
      </x:c>
      <x:c r="G131" t="n">
        <x:v>3</x:v>
      </x:c>
      <x:c r="H131" t="str">
        <x:v>No</x:v>
      </x:c>
    </x:row>
    <x:row r="132">
      <x:c r="A132" t="str">
        <x:v>CUS-2131</x:v>
      </x:c>
      <x:c r="B132" t="n">
        <x:v>11</x:v>
      </x:c>
      <x:c r="C132" t="str">
        <x:v>Plus</x:v>
      </x:c>
      <x:c r="D132" t="str">
        <x:v>Central</x:v>
      </x:c>
      <x:c r="E132" s="10" t="n">
        <x:v>89</x:v>
      </x:c>
      <x:c r="F132" t="n">
        <x:v>6</x:v>
      </x:c>
      <x:c r="G132" t="n">
        <x:v>1</x:v>
      </x:c>
      <x:c r="H132" t="str">
        <x:v>Yes</x:v>
      </x:c>
    </x:row>
    <x:row r="133">
      <x:c r="A133" t="str">
        <x:v>CUS-2132</x:v>
      </x:c>
      <x:c r="B133" t="n">
        <x:v>18</x:v>
      </x:c>
      <x:c r="C133" t="str">
        <x:v>Premium</x:v>
      </x:c>
      <x:c r="D133" t="str">
        <x:v>East</x:v>
      </x:c>
      <x:c r="E133" s="10" t="n">
        <x:v>100</x:v>
      </x:c>
      <x:c r="F133" t="n">
        <x:v>4</x:v>
      </x:c>
      <x:c r="G133" t="n">
        <x:v>4</x:v>
      </x:c>
      <x:c r="H133" t="str">
        <x:v>No</x:v>
      </x:c>
    </x:row>
    <x:row r="134">
      <x:c r="A134" t="str">
        <x:v>CUS-2133</x:v>
      </x:c>
      <x:c r="B134" t="n">
        <x:v>25</x:v>
      </x:c>
      <x:c r="C134" t="str">
        <x:v>Basic</x:v>
      </x:c>
      <x:c r="D134" t="str">
        <x:v>West</x:v>
      </x:c>
      <x:c r="E134" s="10" t="n">
        <x:v>111</x:v>
      </x:c>
      <x:c r="F134" t="n">
        <x:v>2</x:v>
      </x:c>
      <x:c r="G134" t="n">
        <x:v>2</x:v>
      </x:c>
      <x:c r="H134" t="str">
        <x:v>Yes</x:v>
      </x:c>
    </x:row>
    <x:row r="135">
      <x:c r="A135" t="str">
        <x:v>CUS-2134</x:v>
      </x:c>
      <x:c r="B135" t="n">
        <x:v>32</x:v>
      </x:c>
      <x:c r="C135" t="str">
        <x:v>Plus</x:v>
      </x:c>
      <x:c r="D135" t="str">
        <x:v>South</x:v>
      </x:c>
      <x:c r="E135" s="10" t="n">
        <x:v>122</x:v>
      </x:c>
      <x:c r="F135" t="n">
        <x:v>0</x:v>
      </x:c>
      <x:c r="G135" t="n">
        <x:v>5</x:v>
      </x:c>
      <x:c r="H135" t="str">
        <x:v>No</x:v>
      </x:c>
    </x:row>
    <x:row r="136">
      <x:c r="A136" t="str">
        <x:v>CUS-2135</x:v>
      </x:c>
      <x:c r="B136" t="n">
        <x:v>39</x:v>
      </x:c>
      <x:c r="C136" t="str">
        <x:v>Premium</x:v>
      </x:c>
      <x:c r="D136" t="str">
        <x:v>Central</x:v>
      </x:c>
      <x:c r="E136" s="10" t="n">
        <x:v>41</x:v>
      </x:c>
      <x:c r="F136" t="n">
        <x:v>5</x:v>
      </x:c>
      <x:c r="G136" t="n">
        <x:v>3</x:v>
      </x:c>
      <x:c r="H136" t="str">
        <x:v>No</x:v>
      </x:c>
    </x:row>
    <x:row r="137">
      <x:c r="A137" t="str">
        <x:v>CUS-2136</x:v>
      </x:c>
      <x:c r="B137" t="n">
        <x:v>46</x:v>
      </x:c>
      <x:c r="C137" t="str">
        <x:v>Basic</x:v>
      </x:c>
      <x:c r="D137" t="str">
        <x:v>East</x:v>
      </x:c>
      <x:c r="E137" s="10" t="n">
        <x:v>52</x:v>
      </x:c>
      <x:c r="F137" t="n">
        <x:v>3</x:v>
      </x:c>
      <x:c r="G137" t="n">
        <x:v>1</x:v>
      </x:c>
      <x:c r="H137" t="str">
        <x:v>Yes</x:v>
      </x:c>
    </x:row>
    <x:row r="138">
      <x:c r="A138" t="str">
        <x:v>CUS-2137</x:v>
      </x:c>
      <x:c r="B138" t="n">
        <x:v>53</x:v>
      </x:c>
      <x:c r="C138" t="str">
        <x:v>Plus</x:v>
      </x:c>
      <x:c r="D138" t="str">
        <x:v>West</x:v>
      </x:c>
      <x:c r="E138" s="10" t="n">
        <x:v>63</x:v>
      </x:c>
      <x:c r="F138" t="n">
        <x:v>1</x:v>
      </x:c>
      <x:c r="G138" t="n">
        <x:v>4</x:v>
      </x:c>
      <x:c r="H138" t="str">
        <x:v>No</x:v>
      </x:c>
    </x:row>
    <x:row r="139">
      <x:c r="A139" t="str">
        <x:v>CUS-2138</x:v>
      </x:c>
      <x:c r="B139" t="n">
        <x:v>60</x:v>
      </x:c>
      <x:c r="C139" t="str">
        <x:v>Premium</x:v>
      </x:c>
      <x:c r="D139" t="str">
        <x:v>South</x:v>
      </x:c>
      <x:c r="E139" s="10" t="n">
        <x:v>74</x:v>
      </x:c>
      <x:c r="F139" t="n">
        <x:v>6</x:v>
      </x:c>
      <x:c r="G139" t="n">
        <x:v>2</x:v>
      </x:c>
      <x:c r="H139" t="str">
        <x:v>No</x:v>
      </x:c>
    </x:row>
    <x:row r="140">
      <x:c r="A140" t="str">
        <x:v>CUS-2139</x:v>
      </x:c>
      <x:c r="B140" t="n">
        <x:v>7</x:v>
      </x:c>
      <x:c r="C140" t="str">
        <x:v>Basic</x:v>
      </x:c>
      <x:c r="D140" t="str">
        <x:v>Central</x:v>
      </x:c>
      <x:c r="E140" s="10" t="n">
        <x:v>85</x:v>
      </x:c>
      <x:c r="F140" t="n">
        <x:v>4</x:v>
      </x:c>
      <x:c r="G140" t="n">
        <x:v>5</x:v>
      </x:c>
      <x:c r="H140" t="str">
        <x:v>Yes</x:v>
      </x:c>
    </x:row>
    <x:row r="141">
      <x:c r="A141" t="str">
        <x:v>CUS-2140</x:v>
      </x:c>
      <x:c r="B141" t="n">
        <x:v>14</x:v>
      </x:c>
      <x:c r="C141" t="str">
        <x:v>Plus</x:v>
      </x:c>
      <x:c r="D141" t="str">
        <x:v>East</x:v>
      </x:c>
      <x:c r="E141" s="10" t="n">
        <x:v>96</x:v>
      </x:c>
      <x:c r="F141" t="n">
        <x:v>2</x:v>
      </x:c>
      <x:c r="G141" t="n">
        <x:v>3</x:v>
      </x:c>
      <x:c r="H141" t="str">
        <x:v>No</x:v>
      </x:c>
    </x:row>
    <x:row r="142">
      <x:c r="A142" t="str">
        <x:v>CUS-2141</x:v>
      </x:c>
      <x:c r="B142" t="n">
        <x:v>21</x:v>
      </x:c>
      <x:c r="C142" t="str">
        <x:v>Premium</x:v>
      </x:c>
      <x:c r="D142" t="str">
        <x:v>West</x:v>
      </x:c>
      <x:c r="E142" s="10" t="n">
        <x:v>107</x:v>
      </x:c>
      <x:c r="F142" t="n">
        <x:v>0</x:v>
      </x:c>
      <x:c r="G142" t="n">
        <x:v>1</x:v>
      </x:c>
      <x:c r="H142" t="str">
        <x:v>No</x:v>
      </x:c>
    </x:row>
    <x:row r="143">
      <x:c r="A143" t="str">
        <x:v>CUS-2142</x:v>
      </x:c>
      <x:c r="B143" t="n">
        <x:v>28</x:v>
      </x:c>
      <x:c r="C143" t="str">
        <x:v>Basic</x:v>
      </x:c>
      <x:c r="D143" t="str">
        <x:v>South</x:v>
      </x:c>
      <x:c r="E143" s="10" t="n">
        <x:v>118</x:v>
      </x:c>
      <x:c r="F143" t="n">
        <x:v>5</x:v>
      </x:c>
      <x:c r="G143" t="n">
        <x:v>4</x:v>
      </x:c>
      <x:c r="H143" t="str">
        <x:v>No</x:v>
      </x:c>
    </x:row>
    <x:row r="144">
      <x:c r="A144" t="str">
        <x:v>CUS-2143</x:v>
      </x:c>
      <x:c r="B144" t="n">
        <x:v>35</x:v>
      </x:c>
      <x:c r="C144" t="str">
        <x:v>Plus</x:v>
      </x:c>
      <x:c r="D144" t="str">
        <x:v>Central</x:v>
      </x:c>
      <x:c r="E144" s="10" t="n">
        <x:v>129</x:v>
      </x:c>
      <x:c r="F144" t="n">
        <x:v>3</x:v>
      </x:c>
      <x:c r="G144" t="n">
        <x:v>2</x:v>
      </x:c>
      <x:c r="H144" t="str">
        <x:v>No</x:v>
      </x:c>
    </x:row>
    <x:row r="145">
      <x:c r="A145" t="str">
        <x:v>CUS-2144</x:v>
      </x:c>
      <x:c r="B145" t="n">
        <x:v>42</x:v>
      </x:c>
      <x:c r="C145" t="str">
        <x:v>Premium</x:v>
      </x:c>
      <x:c r="D145" t="str">
        <x:v>East</x:v>
      </x:c>
      <x:c r="E145" s="10" t="n">
        <x:v>48</x:v>
      </x:c>
      <x:c r="F145" t="n">
        <x:v>1</x:v>
      </x:c>
      <x:c r="G145" t="n">
        <x:v>5</x:v>
      </x:c>
      <x:c r="H145" t="str">
        <x:v>No</x:v>
      </x:c>
    </x:row>
    <x:row r="146">
      <x:c r="A146" t="str">
        <x:v>CUS-2145</x:v>
      </x:c>
      <x:c r="B146" t="n">
        <x:v>49</x:v>
      </x:c>
      <x:c r="C146" t="str">
        <x:v>Basic</x:v>
      </x:c>
      <x:c r="D146" t="str">
        <x:v>West</x:v>
      </x:c>
      <x:c r="E146" s="10" t="n">
        <x:v>59</x:v>
      </x:c>
      <x:c r="F146" t="n">
        <x:v>6</x:v>
      </x:c>
      <x:c r="G146" t="n">
        <x:v>3</x:v>
      </x:c>
      <x:c r="H146" t="str">
        <x:v>No</x:v>
      </x:c>
    </x:row>
    <x:row r="147">
      <x:c r="A147" t="str">
        <x:v>CUS-2146</x:v>
      </x:c>
      <x:c r="B147" t="n">
        <x:v>56</x:v>
      </x:c>
      <x:c r="C147" t="str">
        <x:v>Plus</x:v>
      </x:c>
      <x:c r="D147" t="str">
        <x:v>South</x:v>
      </x:c>
      <x:c r="E147" s="10" t="n">
        <x:v>70</x:v>
      </x:c>
      <x:c r="F147" t="n">
        <x:v>4</x:v>
      </x:c>
      <x:c r="G147" t="n">
        <x:v>1</x:v>
      </x:c>
      <x:c r="H147" t="str">
        <x:v>No</x:v>
      </x:c>
    </x:row>
    <x:row r="148">
      <x:c r="A148" t="str">
        <x:v>CUS-2147</x:v>
      </x:c>
      <x:c r="B148" t="n">
        <x:v>3</x:v>
      </x:c>
      <x:c r="C148" t="str">
        <x:v>Premium</x:v>
      </x:c>
      <x:c r="D148" t="str">
        <x:v>Central</x:v>
      </x:c>
      <x:c r="E148" s="10" t="n">
        <x:v>81</x:v>
      </x:c>
      <x:c r="F148" t="n">
        <x:v>2</x:v>
      </x:c>
      <x:c r="G148" t="n">
        <x:v>4</x:v>
      </x:c>
      <x:c r="H148" t="str">
        <x:v>No</x:v>
      </x:c>
    </x:row>
    <x:row r="149">
      <x:c r="A149" t="str">
        <x:v>CUS-2148</x:v>
      </x:c>
      <x:c r="B149" t="n">
        <x:v>10</x:v>
      </x:c>
      <x:c r="C149" t="str">
        <x:v>Basic</x:v>
      </x:c>
      <x:c r="D149" t="str">
        <x:v>East</x:v>
      </x:c>
      <x:c r="E149" s="10" t="n">
        <x:v>92</x:v>
      </x:c>
      <x:c r="F149" t="n">
        <x:v>0</x:v>
      </x:c>
      <x:c r="G149" t="n">
        <x:v>2</x:v>
      </x:c>
      <x:c r="H149" t="str">
        <x:v>Yes</x:v>
      </x:c>
    </x:row>
    <x:row r="150">
      <x:c r="A150" t="str">
        <x:v>CUS-2149</x:v>
      </x:c>
      <x:c r="B150" t="n">
        <x:v>17</x:v>
      </x:c>
      <x:c r="C150" t="str">
        <x:v>Plus</x:v>
      </x:c>
      <x:c r="D150" t="str">
        <x:v>West</x:v>
      </x:c>
      <x:c r="E150" s="10" t="n">
        <x:v>103</x:v>
      </x:c>
      <x:c r="F150" t="n">
        <x:v>5</x:v>
      </x:c>
      <x:c r="G150" t="n">
        <x:v>5</x:v>
      </x:c>
      <x:c r="H150" t="str">
        <x:v>No</x:v>
      </x:c>
    </x:row>
    <x:row r="151">
      <x:c r="A151" t="str">
        <x:v>CUS-2150</x:v>
      </x:c>
      <x:c r="B151" t="n">
        <x:v>24</x:v>
      </x:c>
      <x:c r="C151" t="str">
        <x:v>Premium</x:v>
      </x:c>
      <x:c r="D151" t="str">
        <x:v>South</x:v>
      </x:c>
      <x:c r="E151" s="10" t="n">
        <x:v>114</x:v>
      </x:c>
      <x:c r="F151" t="n">
        <x:v>3</x:v>
      </x:c>
      <x:c r="G151" t="n">
        <x:v>3</x:v>
      </x:c>
      <x:c r="H151" t="str">
        <x:v>No</x:v>
      </x:c>
    </x:row>
    <x:row r="152">
      <x:c r="A152" t="str">
        <x:v>CUS-2151</x:v>
      </x:c>
      <x:c r="B152" t="n">
        <x:v>31</x:v>
      </x:c>
      <x:c r="C152" t="str">
        <x:v>Basic</x:v>
      </x:c>
      <x:c r="D152" t="str">
        <x:v>Central</x:v>
      </x:c>
      <x:c r="E152" s="10" t="n">
        <x:v>125</x:v>
      </x:c>
      <x:c r="F152" t="n">
        <x:v>1</x:v>
      </x:c>
      <x:c r="G152" t="n">
        <x:v>1</x:v>
      </x:c>
      <x:c r="H152" t="str">
        <x:v>Yes</x:v>
      </x:c>
    </x:row>
    <x:row r="153">
      <x:c r="A153" t="str">
        <x:v>CUS-2152</x:v>
      </x:c>
      <x:c r="B153" t="n">
        <x:v>38</x:v>
      </x:c>
      <x:c r="C153" t="str">
        <x:v>Plus</x:v>
      </x:c>
      <x:c r="D153" t="str">
        <x:v>East</x:v>
      </x:c>
      <x:c r="E153" s="10" t="n">
        <x:v>44</x:v>
      </x:c>
      <x:c r="F153" t="n">
        <x:v>6</x:v>
      </x:c>
      <x:c r="G153" t="n">
        <x:v>4</x:v>
      </x:c>
      <x:c r="H153" t="str">
        <x:v>No</x:v>
      </x:c>
    </x:row>
    <x:row r="154">
      <x:c r="A154" t="str">
        <x:v>CUS-2153</x:v>
      </x:c>
      <x:c r="B154" t="n">
        <x:v>45</x:v>
      </x:c>
      <x:c r="C154" t="str">
        <x:v>Premium</x:v>
      </x:c>
      <x:c r="D154" t="str">
        <x:v>West</x:v>
      </x:c>
      <x:c r="E154" s="10" t="n">
        <x:v>55</x:v>
      </x:c>
      <x:c r="F154" t="n">
        <x:v>4</x:v>
      </x:c>
      <x:c r="G154" t="n">
        <x:v>2</x:v>
      </x:c>
      <x:c r="H154" t="str">
        <x:v>No</x:v>
      </x:c>
    </x:row>
    <x:row r="155">
      <x:c r="A155" t="str">
        <x:v>CUS-2154</x:v>
      </x:c>
      <x:c r="B155" t="n">
        <x:v>52</x:v>
      </x:c>
      <x:c r="C155" t="str">
        <x:v>Basic</x:v>
      </x:c>
      <x:c r="D155" t="str">
        <x:v>South</x:v>
      </x:c>
      <x:c r="E155" s="10" t="n">
        <x:v>66</x:v>
      </x:c>
      <x:c r="F155" t="n">
        <x:v>2</x:v>
      </x:c>
      <x:c r="G155" t="n">
        <x:v>5</x:v>
      </x:c>
      <x:c r="H155" t="str">
        <x:v>No</x:v>
      </x:c>
    </x:row>
    <x:row r="156">
      <x:c r="A156" t="str">
        <x:v>CUS-2155</x:v>
      </x:c>
      <x:c r="B156" t="n">
        <x:v>59</x:v>
      </x:c>
      <x:c r="C156" t="str">
        <x:v>Plus</x:v>
      </x:c>
      <x:c r="D156" t="str">
        <x:v>Central</x:v>
      </x:c>
      <x:c r="E156" s="10" t="n">
        <x:v>77</x:v>
      </x:c>
      <x:c r="F156" t="n">
        <x:v>0</x:v>
      </x:c>
      <x:c r="G156" t="n">
        <x:v>3</x:v>
      </x:c>
      <x:c r="H156" t="str">
        <x:v>No</x:v>
      </x:c>
    </x:row>
    <x:row r="157">
      <x:c r="A157" t="str">
        <x:v>CUS-2156</x:v>
      </x:c>
      <x:c r="B157" t="n">
        <x:v>6</x:v>
      </x:c>
      <x:c r="C157" t="str">
        <x:v>Premium</x:v>
      </x:c>
      <x:c r="D157" t="str">
        <x:v>East</x:v>
      </x:c>
      <x:c r="E157" s="10" t="n">
        <x:v>88</x:v>
      </x:c>
      <x:c r="F157" t="n">
        <x:v>5</x:v>
      </x:c>
      <x:c r="G157" t="n">
        <x:v>1</x:v>
      </x:c>
      <x:c r="H157" t="str">
        <x:v>Yes</x:v>
      </x:c>
    </x:row>
    <x:row r="158">
      <x:c r="A158" t="str">
        <x:v>CUS-2157</x:v>
      </x:c>
      <x:c r="B158" t="n">
        <x:v>13</x:v>
      </x:c>
      <x:c r="C158" t="str">
        <x:v>Basic</x:v>
      </x:c>
      <x:c r="D158" t="str">
        <x:v>West</x:v>
      </x:c>
      <x:c r="E158" s="10" t="n">
        <x:v>99</x:v>
      </x:c>
      <x:c r="F158" t="n">
        <x:v>3</x:v>
      </x:c>
      <x:c r="G158" t="n">
        <x:v>4</x:v>
      </x:c>
      <x:c r="H158" t="str">
        <x:v>No</x:v>
      </x:c>
    </x:row>
    <x:row r="159">
      <x:c r="A159" t="str">
        <x:v>CUS-2158</x:v>
      </x:c>
      <x:c r="B159" t="n">
        <x:v>20</x:v>
      </x:c>
      <x:c r="C159" t="str">
        <x:v>Plus</x:v>
      </x:c>
      <x:c r="D159" t="str">
        <x:v>South</x:v>
      </x:c>
      <x:c r="E159" s="10" t="n">
        <x:v>110</x:v>
      </x:c>
      <x:c r="F159" t="n">
        <x:v>1</x:v>
      </x:c>
      <x:c r="G159" t="n">
        <x:v>2</x:v>
      </x:c>
      <x:c r="H159" t="str">
        <x:v>No</x:v>
      </x:c>
    </x:row>
    <x:row r="160">
      <x:c r="A160" t="str">
        <x:v>CUS-2159</x:v>
      </x:c>
      <x:c r="B160" t="n">
        <x:v>27</x:v>
      </x:c>
      <x:c r="C160" t="str">
        <x:v>Premium</x:v>
      </x:c>
      <x:c r="D160" t="str">
        <x:v>Central</x:v>
      </x:c>
      <x:c r="E160" s="10" t="n">
        <x:v>121</x:v>
      </x:c>
      <x:c r="F160" t="n">
        <x:v>6</x:v>
      </x:c>
      <x:c r="G160" t="n">
        <x:v>5</x:v>
      </x:c>
      <x:c r="H160" t="str">
        <x:v>No</x:v>
      </x:c>
    </x:row>
    <x:row r="161">
      <x:c r="A161" t="str">
        <x:v>CUS-2160</x:v>
      </x:c>
      <x:c r="B161" t="n">
        <x:v>34</x:v>
      </x:c>
      <x:c r="C161" t="str">
        <x:v>Basic</x:v>
      </x:c>
      <x:c r="D161" t="str">
        <x:v>East</x:v>
      </x:c>
      <x:c r="E161" s="10" t="n">
        <x:v>40</x:v>
      </x:c>
      <x:c r="F161" t="n">
        <x:v>4</x:v>
      </x:c>
      <x:c r="G161" t="n">
        <x:v>3</x:v>
      </x:c>
      <x:c r="H161" t="str">
        <x:v>No</x:v>
      </x:c>
    </x:row>
    <x:row r="162">
      <x:c r="A162" t="str">
        <x:v>CUS-2161</x:v>
      </x:c>
      <x:c r="B162" t="n">
        <x:v>41</x:v>
      </x:c>
      <x:c r="C162" t="str">
        <x:v>Plus</x:v>
      </x:c>
      <x:c r="D162" t="str">
        <x:v>West</x:v>
      </x:c>
      <x:c r="E162" s="10" t="n">
        <x:v>51</x:v>
      </x:c>
      <x:c r="F162" t="n">
        <x:v>2</x:v>
      </x:c>
      <x:c r="G162" t="n">
        <x:v>1</x:v>
      </x:c>
      <x:c r="H162" t="str">
        <x:v>No</x:v>
      </x:c>
    </x:row>
    <x:row r="163">
      <x:c r="A163" t="str">
        <x:v>CUS-2162</x:v>
      </x:c>
      <x:c r="B163" t="n">
        <x:v>48</x:v>
      </x:c>
      <x:c r="C163" t="str">
        <x:v>Premium</x:v>
      </x:c>
      <x:c r="D163" t="str">
        <x:v>South</x:v>
      </x:c>
      <x:c r="E163" s="10" t="n">
        <x:v>62</x:v>
      </x:c>
      <x:c r="F163" t="n">
        <x:v>0</x:v>
      </x:c>
      <x:c r="G163" t="n">
        <x:v>4</x:v>
      </x:c>
      <x:c r="H163" t="str">
        <x:v>No</x:v>
      </x:c>
    </x:row>
    <x:row r="164">
      <x:c r="A164" t="str">
        <x:v>CUS-2163</x:v>
      </x:c>
      <x:c r="B164" t="n">
        <x:v>55</x:v>
      </x:c>
      <x:c r="C164" t="str">
        <x:v>Basic</x:v>
      </x:c>
      <x:c r="D164" t="str">
        <x:v>Central</x:v>
      </x:c>
      <x:c r="E164" s="10" t="n">
        <x:v>73</x:v>
      </x:c>
      <x:c r="F164" t="n">
        <x:v>5</x:v>
      </x:c>
      <x:c r="G164" t="n">
        <x:v>2</x:v>
      </x:c>
      <x:c r="H164" t="str">
        <x:v>Yes</x:v>
      </x:c>
    </x:row>
    <x:row r="165">
      <x:c r="A165" t="str">
        <x:v>CUS-2164</x:v>
      </x:c>
      <x:c r="B165" t="n">
        <x:v>2</x:v>
      </x:c>
      <x:c r="C165" t="str">
        <x:v>Plus</x:v>
      </x:c>
      <x:c r="D165" t="str">
        <x:v>East</x:v>
      </x:c>
      <x:c r="E165" s="10" t="n">
        <x:v>84</x:v>
      </x:c>
      <x:c r="F165" t="n">
        <x:v>3</x:v>
      </x:c>
      <x:c r="G165" t="n">
        <x:v>5</x:v>
      </x:c>
      <x:c r="H165" t="str">
        <x:v>No</x:v>
      </x:c>
    </x:row>
    <x:row r="166">
      <x:c r="A166" t="str">
        <x:v>CUS-2165</x:v>
      </x:c>
      <x:c r="B166" t="n">
        <x:v>9</x:v>
      </x:c>
      <x:c r="C166" t="str">
        <x:v>Premium</x:v>
      </x:c>
      <x:c r="D166" t="str">
        <x:v>West</x:v>
      </x:c>
      <x:c r="E166" s="10" t="n">
        <x:v>95</x:v>
      </x:c>
      <x:c r="F166" t="n">
        <x:v>1</x:v>
      </x:c>
      <x:c r="G166" t="n">
        <x:v>3</x:v>
      </x:c>
      <x:c r="H166" t="str">
        <x:v>No</x:v>
      </x:c>
    </x:row>
    <x:row r="167">
      <x:c r="A167" t="str">
        <x:v>CUS-2166</x:v>
      </x:c>
      <x:c r="B167" t="n">
        <x:v>16</x:v>
      </x:c>
      <x:c r="C167" t="str">
        <x:v>Basic</x:v>
      </x:c>
      <x:c r="D167" t="str">
        <x:v>South</x:v>
      </x:c>
      <x:c r="E167" s="10" t="n">
        <x:v>106</x:v>
      </x:c>
      <x:c r="F167" t="n">
        <x:v>6</x:v>
      </x:c>
      <x:c r="G167" t="n">
        <x:v>1</x:v>
      </x:c>
      <x:c r="H167" t="str">
        <x:v>Yes</x:v>
      </x:c>
    </x:row>
    <x:row r="168">
      <x:c r="A168" t="str">
        <x:v>CUS-2167</x:v>
      </x:c>
      <x:c r="B168" t="n">
        <x:v>23</x:v>
      </x:c>
      <x:c r="C168" t="str">
        <x:v>Plus</x:v>
      </x:c>
      <x:c r="D168" t="str">
        <x:v>Central</x:v>
      </x:c>
      <x:c r="E168" s="10" t="n">
        <x:v>117</x:v>
      </x:c>
      <x:c r="F168" t="n">
        <x:v>4</x:v>
      </x:c>
      <x:c r="G168" t="n">
        <x:v>4</x:v>
      </x:c>
      <x:c r="H168" t="str">
        <x:v>No</x:v>
      </x:c>
    </x:row>
    <x:row r="169">
      <x:c r="A169" t="str">
        <x:v>CUS-2168</x:v>
      </x:c>
      <x:c r="B169" t="n">
        <x:v>30</x:v>
      </x:c>
      <x:c r="C169" t="str">
        <x:v>Premium</x:v>
      </x:c>
      <x:c r="D169" t="str">
        <x:v>East</x:v>
      </x:c>
      <x:c r="E169" s="10" t="n">
        <x:v>128</x:v>
      </x:c>
      <x:c r="F169" t="n">
        <x:v>2</x:v>
      </x:c>
      <x:c r="G169" t="n">
        <x:v>2</x:v>
      </x:c>
      <x:c r="H169" t="str">
        <x:v>No</x:v>
      </x:c>
    </x:row>
    <x:row r="170">
      <x:c r="A170" t="str">
        <x:v>CUS-2169</x:v>
      </x:c>
      <x:c r="B170" t="n">
        <x:v>37</x:v>
      </x:c>
      <x:c r="C170" t="str">
        <x:v>Basic</x:v>
      </x:c>
      <x:c r="D170" t="str">
        <x:v>West</x:v>
      </x:c>
      <x:c r="E170" s="10" t="n">
        <x:v>47</x:v>
      </x:c>
      <x:c r="F170" t="n">
        <x:v>0</x:v>
      </x:c>
      <x:c r="G170" t="n">
        <x:v>5</x:v>
      </x:c>
      <x:c r="H170" t="str">
        <x:v>No</x:v>
      </x:c>
    </x:row>
    <x:row r="171">
      <x:c r="A171" t="str">
        <x:v>CUS-2170</x:v>
      </x:c>
      <x:c r="B171" t="n">
        <x:v>44</x:v>
      </x:c>
      <x:c r="C171" t="str">
        <x:v>Plus</x:v>
      </x:c>
      <x:c r="D171" t="str">
        <x:v>South</x:v>
      </x:c>
      <x:c r="E171" s="10" t="n">
        <x:v>58</x:v>
      </x:c>
      <x:c r="F171" t="n">
        <x:v>5</x:v>
      </x:c>
      <x:c r="G171" t="n">
        <x:v>3</x:v>
      </x:c>
      <x:c r="H171" t="str">
        <x:v>No</x:v>
      </x:c>
    </x:row>
    <x:row r="172">
      <x:c r="A172" t="str">
        <x:v>CUS-2171</x:v>
      </x:c>
      <x:c r="B172" t="n">
        <x:v>51</x:v>
      </x:c>
      <x:c r="C172" t="str">
        <x:v>Premium</x:v>
      </x:c>
      <x:c r="D172" t="str">
        <x:v>Central</x:v>
      </x:c>
      <x:c r="E172" s="10" t="n">
        <x:v>69</x:v>
      </x:c>
      <x:c r="F172" t="n">
        <x:v>3</x:v>
      </x:c>
      <x:c r="G172" t="n">
        <x:v>1</x:v>
      </x:c>
      <x:c r="H172" t="str">
        <x:v>No</x:v>
      </x:c>
    </x:row>
    <x:row r="173">
      <x:c r="A173" t="str">
        <x:v>CUS-2172</x:v>
      </x:c>
      <x:c r="B173" t="n">
        <x:v>58</x:v>
      </x:c>
      <x:c r="C173" t="str">
        <x:v>Basic</x:v>
      </x:c>
      <x:c r="D173" t="str">
        <x:v>East</x:v>
      </x:c>
      <x:c r="E173" s="10" t="n">
        <x:v>80</x:v>
      </x:c>
      <x:c r="F173" t="n">
        <x:v>1</x:v>
      </x:c>
      <x:c r="G173" t="n">
        <x:v>4</x:v>
      </x:c>
      <x:c r="H173" t="str">
        <x:v>No</x:v>
      </x:c>
    </x:row>
    <x:row r="174">
      <x:c r="A174" t="str">
        <x:v>CUS-2173</x:v>
      </x:c>
      <x:c r="B174" t="n">
        <x:v>5</x:v>
      </x:c>
      <x:c r="C174" t="str">
        <x:v>Plus</x:v>
      </x:c>
      <x:c r="D174" t="str">
        <x:v>West</x:v>
      </x:c>
      <x:c r="E174" s="10" t="n">
        <x:v>91</x:v>
      </x:c>
      <x:c r="F174" t="n">
        <x:v>6</x:v>
      </x:c>
      <x:c r="G174" t="n">
        <x:v>2</x:v>
      </x:c>
      <x:c r="H174" t="str">
        <x:v>Yes</x:v>
      </x:c>
    </x:row>
    <x:row r="175">
      <x:c r="A175" t="str">
        <x:v>CUS-2174</x:v>
      </x:c>
      <x:c r="B175" t="n">
        <x:v>12</x:v>
      </x:c>
      <x:c r="C175" t="str">
        <x:v>Premium</x:v>
      </x:c>
      <x:c r="D175" t="str">
        <x:v>South</x:v>
      </x:c>
      <x:c r="E175" s="10" t="n">
        <x:v>102</x:v>
      </x:c>
      <x:c r="F175" t="n">
        <x:v>4</x:v>
      </x:c>
      <x:c r="G175" t="n">
        <x:v>5</x:v>
      </x:c>
      <x:c r="H175" t="str">
        <x:v>No</x:v>
      </x:c>
    </x:row>
    <x:row r="176">
      <x:c r="A176" t="str">
        <x:v>CUS-2175</x:v>
      </x:c>
      <x:c r="B176" t="n">
        <x:v>19</x:v>
      </x:c>
      <x:c r="C176" t="str">
        <x:v>Basic</x:v>
      </x:c>
      <x:c r="D176" t="str">
        <x:v>Central</x:v>
      </x:c>
      <x:c r="E176" s="10" t="n">
        <x:v>113</x:v>
      </x:c>
      <x:c r="F176" t="n">
        <x:v>2</x:v>
      </x:c>
      <x:c r="G176" t="n">
        <x:v>3</x:v>
      </x:c>
      <x:c r="H176" t="str">
        <x:v>No</x:v>
      </x:c>
    </x:row>
    <x:row r="177">
      <x:c r="A177" t="str">
        <x:v>CUS-2176</x:v>
      </x:c>
      <x:c r="B177" t="n">
        <x:v>26</x:v>
      </x:c>
      <x:c r="C177" t="str">
        <x:v>Plus</x:v>
      </x:c>
      <x:c r="D177" t="str">
        <x:v>East</x:v>
      </x:c>
      <x:c r="E177" s="10" t="n">
        <x:v>124</x:v>
      </x:c>
      <x:c r="F177" t="n">
        <x:v>0</x:v>
      </x:c>
      <x:c r="G177" t="n">
        <x:v>1</x:v>
      </x:c>
      <x:c r="H177" t="str">
        <x:v>No</x:v>
      </x:c>
    </x:row>
    <x:row r="178">
      <x:c r="A178" t="str">
        <x:v>CUS-2177</x:v>
      </x:c>
      <x:c r="B178" t="n">
        <x:v>33</x:v>
      </x:c>
      <x:c r="C178" t="str">
        <x:v>Premium</x:v>
      </x:c>
      <x:c r="D178" t="str">
        <x:v>West</x:v>
      </x:c>
      <x:c r="E178" s="10" t="n">
        <x:v>43</x:v>
      </x:c>
      <x:c r="F178" t="n">
        <x:v>5</x:v>
      </x:c>
      <x:c r="G178" t="n">
        <x:v>4</x:v>
      </x:c>
      <x:c r="H178" t="str">
        <x:v>No</x:v>
      </x:c>
    </x:row>
    <x:row r="179">
      <x:c r="A179" t="str">
        <x:v>CUS-2178</x:v>
      </x:c>
      <x:c r="B179" t="n">
        <x:v>40</x:v>
      </x:c>
      <x:c r="C179" t="str">
        <x:v>Basic</x:v>
      </x:c>
      <x:c r="D179" t="str">
        <x:v>South</x:v>
      </x:c>
      <x:c r="E179" s="10" t="n">
        <x:v>54</x:v>
      </x:c>
      <x:c r="F179" t="n">
        <x:v>3</x:v>
      </x:c>
      <x:c r="G179" t="n">
        <x:v>2</x:v>
      </x:c>
      <x:c r="H179" t="str">
        <x:v>Yes</x:v>
      </x:c>
    </x:row>
    <x:row r="180">
      <x:c r="A180" t="str">
        <x:v>CUS-2179</x:v>
      </x:c>
      <x:c r="B180" t="n">
        <x:v>47</x:v>
      </x:c>
      <x:c r="C180" t="str">
        <x:v>Plus</x:v>
      </x:c>
      <x:c r="D180" t="str">
        <x:v>Central</x:v>
      </x:c>
      <x:c r="E180" s="10" t="n">
        <x:v>65</x:v>
      </x:c>
      <x:c r="F180" t="n">
        <x:v>1</x:v>
      </x:c>
      <x:c r="G180" t="n">
        <x:v>5</x:v>
      </x:c>
      <x:c r="H180" t="str">
        <x:v>No</x:v>
      </x:c>
    </x:row>
    <x:row r="181">
      <x:c r="A181" t="str">
        <x:v>CUS-2180</x:v>
      </x:c>
      <x:c r="B181" t="n">
        <x:v>54</x:v>
      </x:c>
      <x:c r="C181" t="str">
        <x:v>Premium</x:v>
      </x:c>
      <x:c r="D181" t="str">
        <x:v>East</x:v>
      </x:c>
      <x:c r="E181" s="10" t="n">
        <x:v>76</x:v>
      </x:c>
      <x:c r="F181" t="n">
        <x:v>6</x:v>
      </x:c>
      <x:c r="G181" t="n">
        <x:v>3</x:v>
      </x:c>
      <x:c r="H181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99815a7c3bb24bf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8" t="str">
        <x:v>KPI</x:v>
      </x:c>
      <x:c r="B1" s="200" t="str">
        <x:v>Definition</x:v>
      </x:c>
      <x:c r="C1" s="200" t="str">
        <x:v>Business Use</x:v>
      </x:c>
    </x:row>
    <x:row r="2">
      <x:c r="A2" t="str">
        <x:v>Churn Rate</x:v>
      </x:c>
      <x:c r="B2" t="str">
        <x:v>Churned customers divided by total customers</x:v>
      </x:c>
      <x:c r="C2" t="str">
        <x:v>Primary retention outcome</x:v>
      </x:c>
    </x:row>
    <x:row r="3">
      <x:c r="A3" t="str">
        <x:v>Average Tenure</x:v>
      </x:c>
      <x:c r="B3" t="str">
        <x:v>Average months since customer start</x:v>
      </x:c>
      <x:c r="C3" t="str">
        <x:v>Indicates relationship maturity</x:v>
      </x:c>
    </x:row>
    <x:row r="4">
      <x:c r="A4" t="str">
        <x:v>Satisfaction</x:v>
      </x:c>
      <x:c r="B4" t="str">
        <x:v>Average 1–5 experience score</x:v>
      </x:c>
      <x:c r="C4" t="str">
        <x:v>Leading experience indicator</x:v>
      </x:c>
    </x:row>
    <x:row r="5">
      <x:c r="A5" t="str">
        <x:v>Support Tickets</x:v>
      </x:c>
      <x:c r="B5" t="str">
        <x:v>Count of recent support contacts</x:v>
      </x:c>
      <x:c r="C5" t="str">
        <x:v>Operational friction signal</x:v>
      </x:c>
    </x:row>
  </x:sheetData>
  <x:pageMargins left="0.7" right="0.7" top="0.75" bottom="0.75" header="0.3" footer="0.3"/>
</x:worksheet>
</file>