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6f0520ef8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dcb0c54e8fd4cfd"/>
    <x:sheet xmlns:r="http://schemas.openxmlformats.org/officeDocument/2006/relationships" name="Data" sheetId="2" r:id="Radaa3ed64c9b48e4"/>
    <x:sheet xmlns:r="http://schemas.openxmlformats.org/officeDocument/2006/relationships" name="KPI Definitions" sheetId="3" r:id="Rf5414ccbbe72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General"/>
  </x:numFmts>
  <x:fonts count="8">
    <x:font>
      <x:sz val="11"/>
      <x:name val="Carlito"/>
    </x:font>
    <x:font>
      <x:sz val="11"/>
      <x:color rgb="FF243447"/>
      <x:name val="Aptos"/>
    </x:font>
    <x:font>
      <x:b/>
      <x:sz val="22"/>
      <x:color rgb="FFFFFFFF"/>
      <x:name val="Aptos"/>
    </x:font>
    <x:font>
      <x:i/>
      <x:sz val="10"/>
      <x:color rgb="FF243447"/>
      <x:name val="Aptos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b/>
      <x:sz val="12"/>
      <x:color rgb="FF15324B"/>
      <x:name val="Aptos"/>
    </x:font>
    <x:font>
      <x:b/>
      <x:sz val="11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DCEAF3"/>
      </x:patternFill>
    </x:fill>
    <x:fill>
      <x:patternFill patternType="solid">
        <x:fgColor rgb="FF4C78A8"/>
      </x:patternFill>
    </x:fill>
    <x:fill>
      <x:patternFill patternType="solid">
        <x:fgColor rgb="FF59A14F"/>
      </x:patternFill>
    </x:fill>
    <x:fill>
      <x:patternFill patternType="solid">
        <x:fgColor rgb="FF19A7A0"/>
      </x:patternFill>
    </x:fill>
    <x:fill>
      <x:patternFill patternType="solid">
        <x:fgColor rgb="FFF28E2B"/>
      </x:patternFill>
    </x:fill>
    <x:fill>
      <x:patternFill patternType="solid">
        <x:fgColor rgb="FFF3F6F9"/>
      </x:patternFill>
    </x:fill>
  </x:fills>
  <x:borders count="10">
    <x:border/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bottom style="double">
        <x:color rgb="FF9CB3C5"/>
      </x:bottom>
    </x:border>
  </x:borders>
  <x:cellStyleXfs count="1">
    <x:xf numFmtId="0" fontId="0" fillId="0" borderId="0"/>
  </x:cellStyleXfs>
  <x:cellXfs count="20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202" fontId="5" fillId="4" borderId="1" xfId="0" applyNumberFormat="1" applyFont="1" applyFill="1" applyBorder="1" applyAlignment="1">
      <x:alignment horizontal="center" vertical="center" wrapText="1"/>
    </x:xf>
    <x:xf numFmtId="202" fontId="5" fillId="4" borderId="2" xfId="0" applyNumberFormat="1" applyFont="1" applyFill="1" applyBorder="1" applyAlignment="1">
      <x:alignment horizontal="center" vertical="center" wrapText="1"/>
    </x:xf>
    <x:xf numFmtId="202" fontId="5" fillId="4" borderId="3" xfId="0" applyNumberFormat="1" applyFont="1" applyFill="1" applyBorder="1" applyAlignment="1">
      <x:alignment horizontal="center" vertical="center" wrapText="1"/>
    </x:xf>
    <x:xf numFmtId="202" fontId="5" fillId="4" borderId="4" xfId="0" applyNumberFormat="1" applyFont="1" applyFill="1" applyBorder="1" applyAlignment="1">
      <x:alignment horizontal="center" vertical="center" wrapText="1"/>
    </x:xf>
    <x:xf numFmtId="202" fontId="5" fillId="4" borderId="0" xfId="0" applyNumberFormat="1" applyFont="1" applyFill="1" applyBorder="1" applyAlignment="1">
      <x:alignment horizontal="center" vertical="center" wrapText="1"/>
    </x:xf>
    <x:xf numFmtId="202" fontId="5" fillId="4" borderId="5" xfId="0" applyNumberFormat="1" applyFont="1" applyFill="1" applyBorder="1" applyAlignment="1">
      <x:alignment horizontal="center" vertical="center" wrapText="1"/>
    </x:xf>
    <x:xf numFmtId="202" fontId="5" fillId="4" borderId="6" xfId="0" applyNumberFormat="1" applyFont="1" applyFill="1" applyBorder="1" applyAlignment="1">
      <x:alignment horizontal="center" vertical="center" wrapText="1"/>
    </x:xf>
    <x:xf numFmtId="202" fontId="5" fillId="4" borderId="7" xfId="0" applyNumberFormat="1" applyFont="1" applyFill="1" applyBorder="1" applyAlignment="1">
      <x:alignment horizontal="center" vertical="center" wrapText="1"/>
    </x:xf>
    <x:xf numFmtId="202" fontId="5" fillId="4" borderId="8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202" fontId="5" fillId="5" borderId="1" xfId="0" applyNumberFormat="1" applyFont="1" applyFill="1" applyBorder="1" applyAlignment="1">
      <x:alignment horizontal="center" vertical="center" wrapText="1"/>
    </x:xf>
    <x:xf numFmtId="202" fontId="5" fillId="5" borderId="2" xfId="0" applyNumberFormat="1" applyFont="1" applyFill="1" applyBorder="1" applyAlignment="1">
      <x:alignment horizontal="center" vertical="center" wrapText="1"/>
    </x:xf>
    <x:xf numFmtId="202" fontId="5" fillId="5" borderId="3" xfId="0" applyNumberFormat="1" applyFont="1" applyFill="1" applyBorder="1" applyAlignment="1">
      <x:alignment horizontal="center" vertical="center" wrapText="1"/>
    </x:xf>
    <x:xf numFmtId="202" fontId="5" fillId="5" borderId="4" xfId="0" applyNumberFormat="1" applyFont="1" applyFill="1" applyBorder="1" applyAlignment="1">
      <x:alignment horizontal="center" vertical="center" wrapText="1"/>
    </x:xf>
    <x:xf numFmtId="202" fontId="5" fillId="5" borderId="0" xfId="0" applyNumberFormat="1" applyFont="1" applyFill="1" applyBorder="1" applyAlignment="1">
      <x:alignment horizontal="center" vertical="center" wrapText="1"/>
    </x:xf>
    <x:xf numFmtId="202" fontId="5" fillId="5" borderId="5" xfId="0" applyNumberFormat="1" applyFont="1" applyFill="1" applyBorder="1" applyAlignment="1">
      <x:alignment horizontal="center" vertical="center" wrapText="1"/>
    </x:xf>
    <x:xf numFmtId="202" fontId="5" fillId="5" borderId="6" xfId="0" applyNumberFormat="1" applyFont="1" applyFill="1" applyBorder="1" applyAlignment="1">
      <x:alignment horizontal="center" vertical="center" wrapText="1"/>
    </x:xf>
    <x:xf numFmtId="202" fontId="5" fillId="5" borderId="7" xfId="0" applyNumberFormat="1" applyFont="1" applyFill="1" applyBorder="1" applyAlignment="1">
      <x:alignment horizontal="center" vertical="center" wrapText="1"/>
    </x:xf>
    <x:xf numFmtId="202" fontId="5" fillId="5" borderId="8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202" fontId="5" fillId="6" borderId="1" xfId="0" applyNumberFormat="1" applyFont="1" applyFill="1" applyBorder="1" applyAlignment="1">
      <x:alignment horizontal="center" vertical="center" wrapText="1"/>
    </x:xf>
    <x:xf numFmtId="202" fontId="5" fillId="6" borderId="2" xfId="0" applyNumberFormat="1" applyFont="1" applyFill="1" applyBorder="1" applyAlignment="1">
      <x:alignment horizontal="center" vertical="center" wrapText="1"/>
    </x:xf>
    <x:xf numFmtId="202" fontId="5" fillId="6" borderId="3" xfId="0" applyNumberFormat="1" applyFont="1" applyFill="1" applyBorder="1" applyAlignment="1">
      <x:alignment horizontal="center" vertical="center" wrapText="1"/>
    </x:xf>
    <x:xf numFmtId="202" fontId="5" fillId="6" borderId="4" xfId="0" applyNumberFormat="1" applyFont="1" applyFill="1" applyBorder="1" applyAlignment="1">
      <x:alignment horizontal="center" vertical="center" wrapText="1"/>
    </x:xf>
    <x:xf numFmtId="202" fontId="5" fillId="6" borderId="0" xfId="0" applyNumberFormat="1" applyFont="1" applyFill="1" applyBorder="1" applyAlignment="1">
      <x:alignment horizontal="center" vertical="center" wrapText="1"/>
    </x:xf>
    <x:xf numFmtId="202" fontId="5" fillId="6" borderId="5" xfId="0" applyNumberFormat="1" applyFont="1" applyFill="1" applyBorder="1" applyAlignment="1">
      <x:alignment horizontal="center" vertical="center" wrapText="1"/>
    </x:xf>
    <x:xf numFmtId="202" fontId="5" fillId="6" borderId="6" xfId="0" applyNumberFormat="1" applyFont="1" applyFill="1" applyBorder="1" applyAlignment="1">
      <x:alignment horizontal="center" vertical="center" wrapText="1"/>
    </x:xf>
    <x:xf numFmtId="202" fontId="5" fillId="6" borderId="7" xfId="0" applyNumberFormat="1" applyFont="1" applyFill="1" applyBorder="1" applyAlignment="1">
      <x:alignment horizontal="center" vertical="center" wrapText="1"/>
    </x:xf>
    <x:xf numFmtId="202" fontId="5" fillId="6" borderId="8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6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202" fontId="5" fillId="7" borderId="1" xfId="0" applyNumberFormat="1" applyFont="1" applyFill="1" applyBorder="1" applyAlignment="1">
      <x:alignment horizontal="center" vertical="center" wrapText="1"/>
    </x:xf>
    <x:xf numFmtId="202" fontId="5" fillId="7" borderId="2" xfId="0" applyNumberFormat="1" applyFont="1" applyFill="1" applyBorder="1" applyAlignment="1">
      <x:alignment horizontal="center" vertical="center" wrapText="1"/>
    </x:xf>
    <x:xf numFmtId="202" fontId="5" fillId="7" borderId="3" xfId="0" applyNumberFormat="1" applyFont="1" applyFill="1" applyBorder="1" applyAlignment="1">
      <x:alignment horizontal="center" vertical="center" wrapText="1"/>
    </x:xf>
    <x:xf numFmtId="202" fontId="5" fillId="7" borderId="4" xfId="0" applyNumberFormat="1" applyFont="1" applyFill="1" applyBorder="1" applyAlignment="1">
      <x:alignment horizontal="center" vertical="center" wrapText="1"/>
    </x:xf>
    <x:xf numFmtId="202" fontId="5" fillId="7" borderId="0" xfId="0" applyNumberFormat="1" applyFont="1" applyFill="1" applyBorder="1" applyAlignment="1">
      <x:alignment horizontal="center" vertical="center" wrapText="1"/>
    </x:xf>
    <x:xf numFmtId="202" fontId="5" fillId="7" borderId="5" xfId="0" applyNumberFormat="1" applyFont="1" applyFill="1" applyBorder="1" applyAlignment="1">
      <x:alignment horizontal="center" vertical="center" wrapText="1"/>
    </x:xf>
    <x:xf numFmtId="202" fontId="5" fillId="7" borderId="6" xfId="0" applyNumberFormat="1" applyFont="1" applyFill="1" applyBorder="1" applyAlignment="1">
      <x:alignment horizontal="center" vertical="center" wrapText="1"/>
    </x:xf>
    <x:xf numFmtId="202" fontId="5" fillId="7" borderId="7" xfId="0" applyNumberFormat="1" applyFont="1" applyFill="1" applyBorder="1" applyAlignment="1">
      <x:alignment horizontal="center" vertical="center" wrapText="1"/>
    </x:xf>
    <x:xf numFmtId="202" fontId="5" fillId="7" borderId="8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9" xfId="0" applyNumberFormat="1" applyFont="1" applyFill="1" applyBorder="1"/>
    <x:xf numFmtId="0" fontId="7" fillId="2" borderId="0" xfId="0" applyNumberFormat="1" applyFont="1" applyFill="1" applyBorder="1"/>
    <x:xf numFmtId="201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9ceeedadf4f5e" /><Relationship Type="http://schemas.openxmlformats.org/officeDocument/2006/relationships/theme" Target="/xl/theme/theme1.xml" Id="Rfb65906b61584be0" /><Relationship Type="http://schemas.openxmlformats.org/officeDocument/2006/relationships/sharedStrings" Target="/xl/sharedStrings.xml" Id="R47626f13e8a9483f" /><Relationship Type="http://schemas.openxmlformats.org/officeDocument/2006/relationships/worksheet" Target="/xl/worksheets/sheet1.xml" Id="R3dcb0c54e8fd4cfd" /><Relationship Type="http://schemas.openxmlformats.org/officeDocument/2006/relationships/worksheet" Target="/xl/worksheets/sheet2.xml" Id="Radaa3ed64c9b48e4" /><Relationship Type="http://schemas.openxmlformats.org/officeDocument/2006/relationships/worksheet" Target="/xl/worksheets/sheet3.xml" Id="Rf5414ccbbe7244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52e61d5b664f01" /><Relationship Type="http://schemas.openxmlformats.org/officeDocument/2006/relationships/chart" Target="/xl/drawings/charts/chart2.xml" Id="Ref2295dd2cc24e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and Profit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'Dashboard'!$B$27:$B$38</c:f>
              <c:strCache>
                <c:ptCount val="0"/>
              </c:strCache>
            </c:strRef>
          </c:cat>
          <c:val>
            <c:numRef>
              <c:f>'Dashboard'!$C$27:$C$38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'Dashboard'!$B$27:$B$38</c:f>
              <c:strCache>
                <c:ptCount val="0"/>
              </c:strCache>
            </c:strRef>
          </c:cat>
          <c:val>
            <c:numRef>
              <c:f>'Dashboard'!$D$27:$D$38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Region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'Dashboard'!$H$27:$H$30</c:f>
              <c:strCache>
                <c:ptCount val="0"/>
              </c:strCache>
            </c:strRef>
          </c:cat>
          <c:val>
            <c:numRef>
              <c:f>'Dashboard'!$I$27:$I$30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10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52e61d5b664f0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2295dd2cc24e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rmh6rl" displayName="Tablermh6rl" ref="A1:H145" headerRowCount="1" totalsRowCount="0" totalsRowShown="0">
  <x:tableColumns count="8">
    <x:tableColumn id="1" name="Order_ID"/>
    <x:tableColumn id="2" name="Order_Date"/>
    <x:tableColumn id="3" name="Region"/>
    <x:tableColumn id="4" name="Segment"/>
    <x:tableColumn id="5" name="Category"/>
    <x:tableColumn id="6" name="Revenue"/>
    <x:tableColumn id="7" name="Cost"/>
    <x:tableColumn id="8" name="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25f899e8fd42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bedc4983f34c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" hidden="0" customWidth="1"/>
  </x:cols>
  <x:sheetData>
    <x:row r="1">
      <x:c r="A1" s="4" t="str">
        <x:v>Sales Performance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6" t="str">
        <x:v>Executive view of revenue, profit, margin, and regional performance | Synthetic portfolio data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49" t="str">
        <x:f>"REVENUE
"&amp;TEXT(SUM('Data'!F2:F145),"$#,##0")</x:f>
        <x:v>REVENUE
$2,238,408</x:v>
      </x:c>
      <x:c r="C5" s="50"/>
      <x:c r="D5" s="51"/>
      <x:c r="E5" s="95" t="str">
        <x:f>"PROFIT
"&amp;TEXT(SUM('Data'!F2:F145)-SUM('Data'!G2:G145),"$#,##0")</x:f>
        <x:v>PROFIT
$748,924</x:v>
      </x:c>
      <x:c r="F5" s="96"/>
      <x:c r="G5" s="97"/>
      <x:c r="H5" s="141" t="str">
        <x:f>"MARGIN
"&amp;TEXT((SUM('Data'!F2:F145)-SUM('Data'!G2:G145))/SUM('Data'!F2:F145),"0.0%")</x:f>
        <x:v>MARGIN
33.5%</x:v>
      </x:c>
      <x:c r="I5" s="142"/>
      <x:c r="J5" s="143"/>
      <x:c r="K5" s="187" t="str">
        <x:f>"UNITS
"&amp;TEXT(SUM('Data'!H2:H145),"#,##0")</x:f>
        <x:v>UNITS
6,264</x:v>
      </x:c>
      <x:c r="L5" s="188"/>
      <x:c r="M5" s="189"/>
      <x:c r="N5" s="1"/>
    </x:row>
    <x:row r="6">
      <x:c r="A6" s="1"/>
      <x:c r="B6" s="52"/>
      <x:c r="C6" s="53"/>
      <x:c r="D6" s="54"/>
      <x:c r="E6" s="98"/>
      <x:c r="F6" s="99"/>
      <x:c r="G6" s="100"/>
      <x:c r="H6" s="144"/>
      <x:c r="I6" s="145"/>
      <x:c r="J6" s="146"/>
      <x:c r="K6" s="190"/>
      <x:c r="L6" s="191"/>
      <x:c r="M6" s="192"/>
      <x:c r="N6" s="1"/>
    </x:row>
    <x:row r="7">
      <x:c r="A7" s="1"/>
      <x:c r="B7" s="52"/>
      <x:c r="C7" s="53"/>
      <x:c r="D7" s="54"/>
      <x:c r="E7" s="98"/>
      <x:c r="F7" s="99"/>
      <x:c r="G7" s="100"/>
      <x:c r="H7" s="144"/>
      <x:c r="I7" s="145"/>
      <x:c r="J7" s="146"/>
      <x:c r="K7" s="190"/>
      <x:c r="L7" s="191"/>
      <x:c r="M7" s="192"/>
      <x:c r="N7" s="1"/>
    </x:row>
    <x:row r="8">
      <x:c r="A8" s="1"/>
      <x:c r="B8" s="55"/>
      <x:c r="C8" s="56"/>
      <x:c r="D8" s="57"/>
      <x:c r="E8" s="101"/>
      <x:c r="F8" s="102"/>
      <x:c r="G8" s="103"/>
      <x:c r="H8" s="147"/>
      <x:c r="I8" s="148"/>
      <x:c r="J8" s="149"/>
      <x:c r="K8" s="193"/>
      <x:c r="L8" s="194"/>
      <x:c r="M8" s="195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98" t="str">
        <x:v>Monthly Revenue &amp; Profit</x:v>
      </x:c>
      <x:c r="C10" s="198"/>
      <x:c r="D10" s="198"/>
      <x:c r="E10" s="198"/>
      <x:c r="F10" s="198"/>
      <x:c r="G10" s="198"/>
      <x:c r="H10" s="198" t="str">
        <x:v>Revenue by Region</x:v>
      </x:c>
      <x:c r="I10" s="198"/>
      <x:c r="J10" s="198"/>
      <x:c r="K10" s="198"/>
      <x:c r="L10" s="198"/>
      <x:c r="M10" s="198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99" t="str">
        <x:v>Monthly Summary</x:v>
      </x:c>
      <x:c r="C25" s="199"/>
      <x:c r="D25" s="199"/>
      <x:c r="E25" s="199"/>
      <x:c r="F25" s="199"/>
      <x:c r="G25" s="199"/>
      <x:c r="H25" s="1"/>
      <x:c r="I25" s="1"/>
      <x:c r="J25" s="1"/>
      <x:c r="K25" s="1"/>
      <x:c r="L25" s="1"/>
      <x:c r="M25" s="1"/>
      <x:c r="N25" s="1"/>
    </x:row>
    <x:row r="26">
      <x:c r="A26" s="1"/>
      <x:c r="B26" s="1" t="str">
        <x:v>Month</x:v>
      </x:c>
      <x:c r="C26" s="1" t="str">
        <x:v>Revenue</x:v>
      </x:c>
      <x:c r="D26" s="1" t="str">
        <x:v>Profit</x:v>
      </x:c>
      <x:c r="E26" s="1"/>
      <x:c r="F26" s="1"/>
      <x:c r="G26" s="1"/>
      <x:c r="H26" s="1" t="str">
        <x:v>Region</x:v>
      </x:c>
      <x:c r="I26" s="1" t="str">
        <x:v>Revenue</x:v>
      </x:c>
      <x:c r="J26" s="1"/>
      <x:c r="K26" s="1"/>
      <x:c r="L26" s="1"/>
      <x:c r="M26" s="1"/>
      <x:c r="N26" s="1"/>
    </x:row>
    <x:row r="27">
      <x:c r="A27" s="1"/>
      <x:c r="B27" s="1" t="str">
        <x:v>Jan</x:v>
      </x:c>
      <x:c r="C27" s="200" t="n">
        <x:f>SUMIFS('Data'!$F$2:$F$145,'Data'!$B$2:$B$145,"&gt;="&amp;DATE(2025,1,1),'Data'!$B$2:$B$145,"&lt;"&amp;EDATE(DATE(2025,1,1),1))</x:f>
        <x:v>173916</x:v>
      </x:c>
      <x:c r="D27" s="200" t="n">
        <x:f>C27-SUMIFS('Data'!$G$2:$G$145,'Data'!$B$2:$B$145,"&gt;="&amp;DATE(2025,1,1),'Data'!$B$2:$B$145,"&lt;"&amp;EDATE(DATE(2025,1,1),1))</x:f>
        <x:v>49018</x:v>
      </x:c>
      <x:c r="E27" s="1"/>
      <x:c r="F27" s="1"/>
      <x:c r="G27" s="1"/>
      <x:c r="H27" s="1" t="str">
        <x:v>West</x:v>
      </x:c>
      <x:c r="I27" s="200" t="n">
        <x:f>SUMIF('Data'!$C$2:$C$145,H27,'Data'!$F$2:$F$145)</x:f>
        <x:v>550960</x:v>
      </x:c>
      <x:c r="J27" s="1"/>
      <x:c r="K27" s="1"/>
      <x:c r="L27" s="1"/>
      <x:c r="M27" s="1"/>
      <x:c r="N27" s="1"/>
    </x:row>
    <x:row r="28">
      <x:c r="A28" s="1"/>
      <x:c r="B28" s="1" t="str">
        <x:v>Feb</x:v>
      </x:c>
      <x:c r="C28" s="200" t="n">
        <x:f>SUMIFS('Data'!$F$2:$F$145,'Data'!$B$2:$B$145,"&gt;="&amp;DATE(2025,2,1),'Data'!$B$2:$B$145,"&lt;"&amp;EDATE(DATE(2025,2,1),1))</x:f>
        <x:v>177892</x:v>
      </x:c>
      <x:c r="D28" s="200" t="n">
        <x:f>C28-SUMIFS('Data'!$G$2:$G$145,'Data'!$B$2:$B$145,"&gt;="&amp;DATE(2025,2,1),'Data'!$B$2:$B$145,"&lt;"&amp;EDATE(DATE(2025,2,1),1))</x:f>
        <x:v>68589</x:v>
      </x:c>
      <x:c r="E28" s="1"/>
      <x:c r="F28" s="1"/>
      <x:c r="G28" s="1"/>
      <x:c r="H28" s="1" t="str">
        <x:v>East</x:v>
      </x:c>
      <x:c r="I28" s="200" t="n">
        <x:f>SUMIF('Data'!$C$2:$C$145,H28,'Data'!$F$2:$F$145)</x:f>
        <x:v>562888</x:v>
      </x:c>
      <x:c r="J28" s="1"/>
      <x:c r="K28" s="1"/>
      <x:c r="L28" s="1"/>
      <x:c r="M28" s="1"/>
      <x:c r="N28" s="1"/>
    </x:row>
    <x:row r="29">
      <x:c r="A29" s="1"/>
      <x:c r="B29" s="1" t="str">
        <x:v>Mar</x:v>
      </x:c>
      <x:c r="C29" s="200" t="n">
        <x:f>SUMIFS('Data'!$F$2:$F$145,'Data'!$B$2:$B$145,"&gt;="&amp;DATE(2025,3,1),'Data'!$B$2:$B$145,"&lt;"&amp;EDATE(DATE(2025,3,1),1))</x:f>
        <x:v>181868</x:v>
      </x:c>
      <x:c r="D29" s="200" t="n">
        <x:f>C29-SUMIFS('Data'!$G$2:$G$145,'Data'!$B$2:$B$145,"&gt;="&amp;DATE(2025,3,1),'Data'!$B$2:$B$145,"&lt;"&amp;EDATE(DATE(2025,3,1),1))</x:f>
        <x:v>68789</x:v>
      </x:c>
      <x:c r="E29" s="1"/>
      <x:c r="F29" s="1"/>
      <x:c r="G29" s="1"/>
      <x:c r="H29" s="1" t="str">
        <x:v>Central</x:v>
      </x:c>
      <x:c r="I29" s="200" t="n">
        <x:f>SUMIF('Data'!$C$2:$C$145,H29,'Data'!$F$2:$F$145)</x:f>
        <x:v>556316</x:v>
      </x:c>
      <x:c r="J29" s="1"/>
      <x:c r="K29" s="1"/>
      <x:c r="L29" s="1"/>
      <x:c r="M29" s="1"/>
      <x:c r="N29" s="1"/>
    </x:row>
    <x:row r="30">
      <x:c r="A30" s="1"/>
      <x:c r="B30" s="1" t="str">
        <x:v>Apr</x:v>
      </x:c>
      <x:c r="C30" s="200" t="n">
        <x:f>SUMIFS('Data'!$F$2:$F$145,'Data'!$B$2:$B$145,"&gt;="&amp;DATE(2025,4,1),'Data'!$B$2:$B$145,"&lt;"&amp;EDATE(DATE(2025,4,1),1))</x:f>
        <x:v>185844</x:v>
      </x:c>
      <x:c r="D30" s="200" t="n">
        <x:f>C30-SUMIFS('Data'!$G$2:$G$145,'Data'!$B$2:$B$145,"&gt;="&amp;DATE(2025,4,1),'Data'!$B$2:$B$145,"&lt;"&amp;EDATE(DATE(2025,4,1),1))</x:f>
        <x:v>70193</x:v>
      </x:c>
      <x:c r="E30" s="1"/>
      <x:c r="F30" s="1"/>
      <x:c r="G30" s="1"/>
      <x:c r="H30" s="1" t="str">
        <x:v>South</x:v>
      </x:c>
      <x:c r="I30" s="200" t="n">
        <x:f>SUMIF('Data'!$C$2:$C$145,H30,'Data'!$F$2:$F$145)</x:f>
        <x:v>568244</x:v>
      </x:c>
      <x:c r="J30" s="1"/>
      <x:c r="K30" s="1"/>
      <x:c r="L30" s="1"/>
      <x:c r="M30" s="1"/>
      <x:c r="N30" s="1"/>
    </x:row>
    <x:row r="31">
      <x:c r="A31" s="1"/>
      <x:c r="B31" s="1" t="str">
        <x:v>May</x:v>
      </x:c>
      <x:c r="C31" s="200" t="n">
        <x:f>SUMIFS('Data'!$F$2:$F$145,'Data'!$B$2:$B$145,"&gt;="&amp;DATE(2025,5,1),'Data'!$B$2:$B$145,"&lt;"&amp;EDATE(DATE(2025,5,1),1))</x:f>
        <x:v>189820</x:v>
      </x:c>
      <x:c r="D31" s="200" t="n">
        <x:f>C31-SUMIFS('Data'!$G$2:$G$145,'Data'!$B$2:$B$145,"&gt;="&amp;DATE(2025,5,1),'Data'!$B$2:$B$145,"&lt;"&amp;EDATE(DATE(2025,5,1),1))</x:f>
        <x:v>68013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 t="str">
        <x:v>Jun</x:v>
      </x:c>
      <x:c r="C32" s="200" t="n">
        <x:f>SUMIFS('Data'!$F$2:$F$145,'Data'!$B$2:$B$145,"&gt;="&amp;DATE(2025,6,1),'Data'!$B$2:$B$145,"&lt;"&amp;EDATE(DATE(2025,6,1),1))</x:f>
        <x:v>193796</x:v>
      </x:c>
      <x:c r="D32" s="200" t="n">
        <x:f>C32-SUMIFS('Data'!$G$2:$G$145,'Data'!$B$2:$B$145,"&gt;="&amp;DATE(2025,6,1),'Data'!$B$2:$B$145,"&lt;"&amp;EDATE(DATE(2025,6,1),1))</x:f>
        <x:v>67039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B33" t="str">
        <x:v>Jul</x:v>
      </x:c>
      <x:c r="C33" s="11" t="n">
        <x:f>SUMIFS('Data'!$F$2:$F$145,'Data'!$B$2:$B$145,"&gt;="&amp;DATE(2025,7,1),'Data'!$B$2:$B$145,"&lt;"&amp;EDATE(DATE(2025,7,1),1))</x:f>
        <x:v>197772</x:v>
      </x:c>
      <x:c r="D33" s="11" t="n">
        <x:f>C33-SUMIFS('Data'!$G$2:$G$145,'Data'!$B$2:$B$145,"&gt;="&amp;DATE(2025,7,1),'Data'!$B$2:$B$145,"&lt;"&amp;EDATE(DATE(2025,7,1),1))</x:f>
        <x:v>66921</x:v>
      </x:c>
    </x:row>
    <x:row r="34">
      <x:c r="B34" t="str">
        <x:v>Aug</x:v>
      </x:c>
      <x:c r="C34" s="11" t="n">
        <x:f>SUMIFS('Data'!$F$2:$F$145,'Data'!$B$2:$B$145,"&gt;="&amp;DATE(2025,8,1),'Data'!$B$2:$B$145,"&lt;"&amp;EDATE(DATE(2025,8,1),1))</x:f>
        <x:v>201748</x:v>
      </x:c>
      <x:c r="D34" s="11" t="n">
        <x:f>C34-SUMIFS('Data'!$G$2:$G$145,'Data'!$B$2:$B$145,"&gt;="&amp;DATE(2025,8,1),'Data'!$B$2:$B$145,"&lt;"&amp;EDATE(DATE(2025,8,1),1))</x:f>
        <x:v>65787</x:v>
      </x:c>
    </x:row>
    <x:row r="35">
      <x:c r="B35" t="str">
        <x:v>Sep</x:v>
      </x:c>
      <x:c r="C35" s="11" t="n">
        <x:f>SUMIFS('Data'!$F$2:$F$145,'Data'!$B$2:$B$145,"&gt;="&amp;DATE(2025,9,1),'Data'!$B$2:$B$145,"&lt;"&amp;EDATE(DATE(2025,9,1),1))</x:f>
        <x:v>187224</x:v>
      </x:c>
      <x:c r="D35" s="11" t="n">
        <x:f>C35-SUMIFS('Data'!$G$2:$G$145,'Data'!$B$2:$B$145,"&gt;="&amp;DATE(2025,9,1),'Data'!$B$2:$B$145,"&lt;"&amp;EDATE(DATE(2025,9,1),1))</x:f>
        <x:v>60701</x:v>
      </x:c>
    </x:row>
    <x:row r="36">
      <x:c r="B36" t="str">
        <x:v>Oct</x:v>
      </x:c>
      <x:c r="C36" s="11" t="n">
        <x:f>SUMIFS('Data'!$F$2:$F$145,'Data'!$B$2:$B$145,"&gt;="&amp;DATE(2025,10,1),'Data'!$B$2:$B$145,"&lt;"&amp;EDATE(DATE(2025,10,1),1))</x:f>
        <x:v>191200</x:v>
      </x:c>
      <x:c r="D36" s="11" t="n">
        <x:f>C36-SUMIFS('Data'!$G$2:$G$145,'Data'!$B$2:$B$145,"&gt;="&amp;DATE(2025,10,1),'Data'!$B$2:$B$145,"&lt;"&amp;EDATE(DATE(2025,10,1),1))</x:f>
        <x:v>59591</x:v>
      </x:c>
    </x:row>
    <x:row r="37">
      <x:c r="B37" t="str">
        <x:v>Nov</x:v>
      </x:c>
      <x:c r="C37" s="11" t="n">
        <x:f>SUMIFS('Data'!$F$2:$F$145,'Data'!$B$2:$B$145,"&gt;="&amp;DATE(2025,11,1),'Data'!$B$2:$B$145,"&lt;"&amp;EDATE(DATE(2025,11,1),1))</x:f>
        <x:v>176676</x:v>
      </x:c>
      <x:c r="D37" s="11" t="n">
        <x:f>C37-SUMIFS('Data'!$G$2:$G$145,'Data'!$B$2:$B$145,"&gt;="&amp;DATE(2025,11,1),'Data'!$B$2:$B$145,"&lt;"&amp;EDATE(DATE(2025,11,1),1))</x:f>
        <x:v>52681</x:v>
      </x:c>
    </x:row>
    <x:row r="38">
      <x:c r="B38" t="str">
        <x:v>Dec</x:v>
      </x:c>
      <x:c r="C38" s="11" t="n">
        <x:f>SUMIFS('Data'!$F$2:$F$145,'Data'!$B$2:$B$145,"&gt;="&amp;DATE(2025,12,1),'Data'!$B$2:$B$145,"&lt;"&amp;EDATE(DATE(2025,12,1),1))</x:f>
        <x:v>180652</x:v>
      </x:c>
      <x:c r="D38" s="11" t="n">
        <x:f>C38-SUMIFS('Data'!$G$2:$G$145,'Data'!$B$2:$B$145,"&gt;="&amp;DATE(2025,12,1),'Data'!$B$2:$B$145,"&lt;"&amp;EDATE(DATE(2025,12,1),1))</x:f>
        <x:v>51602</x:v>
      </x:c>
    </x:row>
  </x:sheetData>
  <x:mergeCells>
    <x:mergeCell ref="A1:N2"/>
    <x:mergeCell ref="A3:N3"/>
    <x:mergeCell ref="B5:D8"/>
    <x:mergeCell ref="E5:G8"/>
    <x:mergeCell ref="H5:J8"/>
    <x:mergeCell ref="K5:M8"/>
    <x:mergeCell ref="B10:G10"/>
    <x:mergeCell ref="H10:M10"/>
    <x:mergeCell ref="B25:G25"/>
  </x:mergeCells>
  <x:pageMargins left="0.7" right="0.7" top="0.75" bottom="0.75" header="0.3" footer="0.3"/>
  <x:drawing xmlns:r="http://schemas.openxmlformats.org/officeDocument/2006/relationships" r:id="Ra425f899e8fd42a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</x:cols>
  <x:sheetData>
    <x:row r="1">
      <x:c r="A1" s="9" t="str">
        <x:v>Order_ID</x:v>
      </x:c>
      <x:c r="B1" s="9" t="str">
        <x:v>Order_Date</x:v>
      </x:c>
      <x:c r="C1" s="9" t="str">
        <x:v>Region</x:v>
      </x:c>
      <x:c r="D1" s="9" t="str">
        <x:v>Segment</x:v>
      </x:c>
      <x:c r="E1" s="9" t="str">
        <x:v>Category</x:v>
      </x:c>
      <x:c r="F1" s="9" t="str">
        <x:v>Revenue</x:v>
      </x:c>
      <x:c r="G1" s="9" t="str">
        <x:v>Cost</x:v>
      </x:c>
      <x:c r="H1" s="9" t="str">
        <x:v>Units</x:v>
      </x:c>
    </x:row>
    <x:row r="2">
      <x:c r="A2" t="str">
        <x:v>ORD-1001</x:v>
      </x:c>
      <x:c r="B2" s="10" t="n">
        <x:v>45658</x:v>
      </x:c>
      <x:c r="C2" t="str">
        <x:v>West</x:v>
      </x:c>
      <x:c r="D2" t="str">
        <x:v>Enterprise</x:v>
      </x:c>
      <x:c r="E2" t="str">
        <x:v>Software</x:v>
      </x:c>
      <x:c r="F2" s="11" t="n">
        <x:v>6500</x:v>
      </x:c>
      <x:c r="G2" s="11" t="n">
        <x:v>5070</x:v>
      </x:c>
      <x:c r="H2" t="n">
        <x:v>8</x:v>
      </x:c>
    </x:row>
    <x:row r="3">
      <x:c r="A3" t="str">
        <x:v>ORD-1002</x:v>
      </x:c>
      <x:c r="B3" s="10" t="n">
        <x:v>45696</x:v>
      </x:c>
      <x:c r="C3" t="str">
        <x:v>East</x:v>
      </x:c>
      <x:c r="D3" t="str">
        <x:v>Consumer</x:v>
      </x:c>
      <x:c r="E3" t="str">
        <x:v>Hardware</x:v>
      </x:c>
      <x:c r="F3" s="11" t="n">
        <x:v>8373</x:v>
      </x:c>
      <x:c r="G3" s="11" t="n">
        <x:v>5610</x:v>
      </x:c>
      <x:c r="H3" t="n">
        <x:v>21</x:v>
      </x:c>
    </x:row>
    <x:row r="4">
      <x:c r="A4" t="str">
        <x:v>ORD-1003</x:v>
      </x:c>
      <x:c r="B4" s="10" t="n">
        <x:v>45731</x:v>
      </x:c>
      <x:c r="C4" t="str">
        <x:v>Central</x:v>
      </x:c>
      <x:c r="D4" t="str">
        <x:v>SMB</x:v>
      </x:c>
      <x:c r="E4" t="str">
        <x:v>Services</x:v>
      </x:c>
      <x:c r="F4" s="11" t="n">
        <x:v>10246</x:v>
      </x:c>
      <x:c r="G4" s="11" t="n">
        <x:v>5738</x:v>
      </x:c>
      <x:c r="H4" t="n">
        <x:v>34</x:v>
      </x:c>
    </x:row>
    <x:row r="5">
      <x:c r="A5" t="str">
        <x:v>ORD-1004</x:v>
      </x:c>
      <x:c r="B5" s="10" t="n">
        <x:v>45769</x:v>
      </x:c>
      <x:c r="C5" t="str">
        <x:v>South</x:v>
      </x:c>
      <x:c r="D5" t="str">
        <x:v>Enterprise</x:v>
      </x:c>
      <x:c r="E5" t="str">
        <x:v>Software</x:v>
      </x:c>
      <x:c r="F5" s="11" t="n">
        <x:v>12119</x:v>
      </x:c>
      <x:c r="G5" s="11" t="n">
        <x:v>8362</x:v>
      </x:c>
      <x:c r="H5" t="n">
        <x:v>47</x:v>
      </x:c>
    </x:row>
    <x:row r="6">
      <x:c r="A6" t="str">
        <x:v>ORD-1005</x:v>
      </x:c>
      <x:c r="B6" s="10" t="n">
        <x:v>45779</x:v>
      </x:c>
      <x:c r="C6" t="str">
        <x:v>West</x:v>
      </x:c>
      <x:c r="D6" t="str">
        <x:v>Consumer</x:v>
      </x:c>
      <x:c r="E6" t="str">
        <x:v>Hardware</x:v>
      </x:c>
      <x:c r="F6" s="11" t="n">
        <x:v>13992</x:v>
      </x:c>
      <x:c r="G6" s="11" t="n">
        <x:v>8115</x:v>
      </x:c>
      <x:c r="H6" t="n">
        <x:v>60</x:v>
      </x:c>
    </x:row>
    <x:row r="7">
      <x:c r="A7" t="str">
        <x:v>ORD-1006</x:v>
      </x:c>
      <x:c r="B7" s="10" t="n">
        <x:v>45817</x:v>
      </x:c>
      <x:c r="C7" t="str">
        <x:v>East</x:v>
      </x:c>
      <x:c r="D7" t="str">
        <x:v>SMB</x:v>
      </x:c>
      <x:c r="E7" t="str">
        <x:v>Services</x:v>
      </x:c>
      <x:c r="F7" s="11" t="n">
        <x:v>15865</x:v>
      </x:c>
      <x:c r="G7" s="11" t="n">
        <x:v>11264</x:v>
      </x:c>
      <x:c r="H7" t="n">
        <x:v>73</x:v>
      </x:c>
    </x:row>
    <x:row r="8">
      <x:c r="A8" t="str">
        <x:v>ORD-1007</x:v>
      </x:c>
      <x:c r="B8" s="10" t="n">
        <x:v>45854</x:v>
      </x:c>
      <x:c r="C8" t="str">
        <x:v>Central</x:v>
      </x:c>
      <x:c r="D8" t="str">
        <x:v>Enterprise</x:v>
      </x:c>
      <x:c r="E8" t="str">
        <x:v>Software</x:v>
      </x:c>
      <x:c r="F8" s="11" t="n">
        <x:v>17738</x:v>
      </x:c>
      <x:c r="G8" s="11" t="n">
        <x:v>10643</x:v>
      </x:c>
      <x:c r="H8" t="n">
        <x:v>14</x:v>
      </x:c>
    </x:row>
    <x:row r="9">
      <x:c r="A9" t="str">
        <x:v>ORD-1008</x:v>
      </x:c>
      <x:c r="B9" s="10" t="n">
        <x:v>45892</x:v>
      </x:c>
      <x:c r="C9" t="str">
        <x:v>South</x:v>
      </x:c>
      <x:c r="D9" t="str">
        <x:v>Consumer</x:v>
      </x:c>
      <x:c r="E9" t="str">
        <x:v>Hardware</x:v>
      </x:c>
      <x:c r="F9" s="11" t="n">
        <x:v>19611</x:v>
      </x:c>
      <x:c r="G9" s="11" t="n">
        <x:v>14316</x:v>
      </x:c>
      <x:c r="H9" t="n">
        <x:v>27</x:v>
      </x:c>
    </x:row>
    <x:row r="10">
      <x:c r="A10" t="str">
        <x:v>ORD-1009</x:v>
      </x:c>
      <x:c r="B10" s="10" t="n">
        <x:v>45903</x:v>
      </x:c>
      <x:c r="C10" t="str">
        <x:v>West</x:v>
      </x:c>
      <x:c r="D10" t="str">
        <x:v>SMB</x:v>
      </x:c>
      <x:c r="E10" t="str">
        <x:v>Services</x:v>
      </x:c>
      <x:c r="F10" s="11" t="n">
        <x:v>21484</x:v>
      </x:c>
      <x:c r="G10" s="11" t="n">
        <x:v>13320</x:v>
      </x:c>
      <x:c r="H10" t="n">
        <x:v>40</x:v>
      </x:c>
    </x:row>
    <x:row r="11">
      <x:c r="A11" t="str">
        <x:v>ORD-1010</x:v>
      </x:c>
      <x:c r="B11" s="10" t="n">
        <x:v>45940</x:v>
      </x:c>
      <x:c r="C11" t="str">
        <x:v>East</x:v>
      </x:c>
      <x:c r="D11" t="str">
        <x:v>Enterprise</x:v>
      </x:c>
      <x:c r="E11" t="str">
        <x:v>Software</x:v>
      </x:c>
      <x:c r="F11" s="11" t="n">
        <x:v>23357</x:v>
      </x:c>
      <x:c r="G11" s="11" t="n">
        <x:v>17518</x:v>
      </x:c>
      <x:c r="H11" t="n">
        <x:v>53</x:v>
      </x:c>
    </x:row>
    <x:row r="12">
      <x:c r="A12" t="str">
        <x:v>ORD-1011</x:v>
      </x:c>
      <x:c r="B12" s="10" t="n">
        <x:v>45978</x:v>
      </x:c>
      <x:c r="C12" t="str">
        <x:v>Central</x:v>
      </x:c>
      <x:c r="D12" t="str">
        <x:v>Consumer</x:v>
      </x:c>
      <x:c r="E12" t="str">
        <x:v>Hardware</x:v>
      </x:c>
      <x:c r="F12" s="11" t="n">
        <x:v>6730</x:v>
      </x:c>
      <x:c r="G12" s="11" t="n">
        <x:v>4307</x:v>
      </x:c>
      <x:c r="H12" t="n">
        <x:v>66</x:v>
      </x:c>
    </x:row>
    <x:row r="13">
      <x:c r="A13" t="str">
        <x:v>ORD-1012</x:v>
      </x:c>
      <x:c r="B13" s="10" t="n">
        <x:v>46015</x:v>
      </x:c>
      <x:c r="C13" t="str">
        <x:v>South</x:v>
      </x:c>
      <x:c r="D13" t="str">
        <x:v>SMB</x:v>
      </x:c>
      <x:c r="E13" t="str">
        <x:v>Services</x:v>
      </x:c>
      <x:c r="F13" s="11" t="n">
        <x:v>8603</x:v>
      </x:c>
      <x:c r="G13" s="11" t="n">
        <x:v>6624</x:v>
      </x:c>
      <x:c r="H13" t="n">
        <x:v>79</x:v>
      </x:c>
    </x:row>
    <x:row r="14">
      <x:c r="A14" t="str">
        <x:v>ORD-1013</x:v>
      </x:c>
      <x:c r="B14" s="10" t="n">
        <x:v>45661</x:v>
      </x:c>
      <x:c r="C14" t="str">
        <x:v>West</x:v>
      </x:c>
      <x:c r="D14" t="str">
        <x:v>Enterprise</x:v>
      </x:c>
      <x:c r="E14" t="str">
        <x:v>Software</x:v>
      </x:c>
      <x:c r="F14" s="11" t="n">
        <x:v>10476</x:v>
      </x:c>
      <x:c r="G14" s="11" t="n">
        <x:v>6914</x:v>
      </x:c>
      <x:c r="H14" t="n">
        <x:v>20</x:v>
      </x:c>
    </x:row>
    <x:row r="15">
      <x:c r="A15" t="str">
        <x:v>ORD-1014</x:v>
      </x:c>
      <x:c r="B15" s="10" t="n">
        <x:v>45699</x:v>
      </x:c>
      <x:c r="C15" t="str">
        <x:v>East</x:v>
      </x:c>
      <x:c r="D15" t="str">
        <x:v>Consumer</x:v>
      </x:c>
      <x:c r="E15" t="str">
        <x:v>Hardware</x:v>
      </x:c>
      <x:c r="F15" s="11" t="n">
        <x:v>12349</x:v>
      </x:c>
      <x:c r="G15" s="11" t="n">
        <x:v>6792</x:v>
      </x:c>
      <x:c r="H15" t="n">
        <x:v>33</x:v>
      </x:c>
    </x:row>
    <x:row r="16">
      <x:c r="A16" t="str">
        <x:v>ORD-1015</x:v>
      </x:c>
      <x:c r="B16" s="10" t="n">
        <x:v>45734</x:v>
      </x:c>
      <x:c r="C16" t="str">
        <x:v>Central</x:v>
      </x:c>
      <x:c r="D16" t="str">
        <x:v>SMB</x:v>
      </x:c>
      <x:c r="E16" t="str">
        <x:v>Services</x:v>
      </x:c>
      <x:c r="F16" s="11" t="n">
        <x:v>14222</x:v>
      </x:c>
      <x:c r="G16" s="11" t="n">
        <x:v>9671</x:v>
      </x:c>
      <x:c r="H16" t="n">
        <x:v>46</x:v>
      </x:c>
    </x:row>
    <x:row r="17">
      <x:c r="A17" t="str">
        <x:v>ORD-1016</x:v>
      </x:c>
      <x:c r="B17" s="10" t="n">
        <x:v>45772</x:v>
      </x:c>
      <x:c r="C17" t="str">
        <x:v>South</x:v>
      </x:c>
      <x:c r="D17" t="str">
        <x:v>Enterprise</x:v>
      </x:c>
      <x:c r="E17" t="str">
        <x:v>Software</x:v>
      </x:c>
      <x:c r="F17" s="11" t="n">
        <x:v>16095</x:v>
      </x:c>
      <x:c r="G17" s="11" t="n">
        <x:v>9174</x:v>
      </x:c>
      <x:c r="H17" t="n">
        <x:v>59</x:v>
      </x:c>
    </x:row>
    <x:row r="18">
      <x:c r="A18" t="str">
        <x:v>ORD-1017</x:v>
      </x:c>
      <x:c r="B18" s="10" t="n">
        <x:v>45782</x:v>
      </x:c>
      <x:c r="C18" t="str">
        <x:v>West</x:v>
      </x:c>
      <x:c r="D18" t="str">
        <x:v>Consumer</x:v>
      </x:c>
      <x:c r="E18" t="str">
        <x:v>Hardware</x:v>
      </x:c>
      <x:c r="F18" s="11" t="n">
        <x:v>17968</x:v>
      </x:c>
      <x:c r="G18" s="11" t="n">
        <x:v>12578</x:v>
      </x:c>
      <x:c r="H18" t="n">
        <x:v>72</x:v>
      </x:c>
    </x:row>
    <x:row r="19">
      <x:c r="A19" t="str">
        <x:v>ORD-1018</x:v>
      </x:c>
      <x:c r="B19" s="10" t="n">
        <x:v>45820</x:v>
      </x:c>
      <x:c r="C19" t="str">
        <x:v>East</x:v>
      </x:c>
      <x:c r="D19" t="str">
        <x:v>SMB</x:v>
      </x:c>
      <x:c r="E19" t="str">
        <x:v>Services</x:v>
      </x:c>
      <x:c r="F19" s="11" t="n">
        <x:v>19841</x:v>
      </x:c>
      <x:c r="G19" s="11" t="n">
        <x:v>11706</x:v>
      </x:c>
      <x:c r="H19" t="n">
        <x:v>13</x:v>
      </x:c>
    </x:row>
    <x:row r="20">
      <x:c r="A20" t="str">
        <x:v>ORD-1019</x:v>
      </x:c>
      <x:c r="B20" s="10" t="n">
        <x:v>45857</x:v>
      </x:c>
      <x:c r="C20" t="str">
        <x:v>Central</x:v>
      </x:c>
      <x:c r="D20" t="str">
        <x:v>Enterprise</x:v>
      </x:c>
      <x:c r="E20" t="str">
        <x:v>Software</x:v>
      </x:c>
      <x:c r="F20" s="11" t="n">
        <x:v>21714</x:v>
      </x:c>
      <x:c r="G20" s="11" t="n">
        <x:v>15634</x:v>
      </x:c>
      <x:c r="H20" t="n">
        <x:v>26</x:v>
      </x:c>
    </x:row>
    <x:row r="21">
      <x:c r="A21" t="str">
        <x:v>ORD-1020</x:v>
      </x:c>
      <x:c r="B21" s="10" t="n">
        <x:v>45895</x:v>
      </x:c>
      <x:c r="C21" t="str">
        <x:v>South</x:v>
      </x:c>
      <x:c r="D21" t="str">
        <x:v>Consumer</x:v>
      </x:c>
      <x:c r="E21" t="str">
        <x:v>Hardware</x:v>
      </x:c>
      <x:c r="F21" s="11" t="n">
        <x:v>23587</x:v>
      </x:c>
      <x:c r="G21" s="11" t="n">
        <x:v>14388</x:v>
      </x:c>
      <x:c r="H21" t="n">
        <x:v>39</x:v>
      </x:c>
    </x:row>
    <x:row r="22">
      <x:c r="A22" t="str">
        <x:v>ORD-1021</x:v>
      </x:c>
      <x:c r="B22" s="10" t="n">
        <x:v>45906</x:v>
      </x:c>
      <x:c r="C22" t="str">
        <x:v>West</x:v>
      </x:c>
      <x:c r="D22" t="str">
        <x:v>SMB</x:v>
      </x:c>
      <x:c r="E22" t="str">
        <x:v>Services</x:v>
      </x:c>
      <x:c r="F22" s="11" t="n">
        <x:v>6960</x:v>
      </x:c>
      <x:c r="G22" s="11" t="n">
        <x:v>5150</x:v>
      </x:c>
      <x:c r="H22" t="n">
        <x:v>52</x:v>
      </x:c>
    </x:row>
    <x:row r="23">
      <x:c r="A23" t="str">
        <x:v>ORD-1022</x:v>
      </x:c>
      <x:c r="B23" s="10" t="n">
        <x:v>45943</x:v>
      </x:c>
      <x:c r="C23" t="str">
        <x:v>East</x:v>
      </x:c>
      <x:c r="D23" t="str">
        <x:v>Enterprise</x:v>
      </x:c>
      <x:c r="E23" t="str">
        <x:v>Software</x:v>
      </x:c>
      <x:c r="F23" s="11" t="n">
        <x:v>8833</x:v>
      </x:c>
      <x:c r="G23" s="11" t="n">
        <x:v>5565</x:v>
      </x:c>
      <x:c r="H23" t="n">
        <x:v>65</x:v>
      </x:c>
    </x:row>
    <x:row r="24">
      <x:c r="A24" t="str">
        <x:v>ORD-1023</x:v>
      </x:c>
      <x:c r="B24" s="10" t="n">
        <x:v>45981</x:v>
      </x:c>
      <x:c r="C24" t="str">
        <x:v>Central</x:v>
      </x:c>
      <x:c r="D24" t="str">
        <x:v>Consumer</x:v>
      </x:c>
      <x:c r="E24" t="str">
        <x:v>Hardware</x:v>
      </x:c>
      <x:c r="F24" s="11" t="n">
        <x:v>10706</x:v>
      </x:c>
      <x:c r="G24" s="11" t="n">
        <x:v>8137</x:v>
      </x:c>
      <x:c r="H24" t="n">
        <x:v>78</x:v>
      </x:c>
    </x:row>
    <x:row r="25">
      <x:c r="A25" t="str">
        <x:v>ORD-1024</x:v>
      </x:c>
      <x:c r="B25" s="10" t="n">
        <x:v>46018</x:v>
      </x:c>
      <x:c r="C25" t="str">
        <x:v>South</x:v>
      </x:c>
      <x:c r="D25" t="str">
        <x:v>SMB</x:v>
      </x:c>
      <x:c r="E25" t="str">
        <x:v>Services</x:v>
      </x:c>
      <x:c r="F25" s="11" t="n">
        <x:v>12579</x:v>
      </x:c>
      <x:c r="G25" s="11" t="n">
        <x:v>8176</x:v>
      </x:c>
      <x:c r="H25" t="n">
        <x:v>19</x:v>
      </x:c>
    </x:row>
    <x:row r="26">
      <x:c r="A26" t="str">
        <x:v>ORD-1025</x:v>
      </x:c>
      <x:c r="B26" s="10" t="n">
        <x:v>45664</x:v>
      </x:c>
      <x:c r="C26" t="str">
        <x:v>West</x:v>
      </x:c>
      <x:c r="D26" t="str">
        <x:v>Enterprise</x:v>
      </x:c>
      <x:c r="E26" t="str">
        <x:v>Software</x:v>
      </x:c>
      <x:c r="F26" s="11" t="n">
        <x:v>14452</x:v>
      </x:c>
      <x:c r="G26" s="11" t="n">
        <x:v>11273</x:v>
      </x:c>
      <x:c r="H26" t="n">
        <x:v>32</x:v>
      </x:c>
    </x:row>
    <x:row r="27">
      <x:c r="A27" t="str">
        <x:v>ORD-1026</x:v>
      </x:c>
      <x:c r="B27" s="10" t="n">
        <x:v>45702</x:v>
      </x:c>
      <x:c r="C27" t="str">
        <x:v>East</x:v>
      </x:c>
      <x:c r="D27" t="str">
        <x:v>Consumer</x:v>
      </x:c>
      <x:c r="E27" t="str">
        <x:v>Hardware</x:v>
      </x:c>
      <x:c r="F27" s="11" t="n">
        <x:v>16325</x:v>
      </x:c>
      <x:c r="G27" s="11" t="n">
        <x:v>10938</x:v>
      </x:c>
      <x:c r="H27" t="n">
        <x:v>45</x:v>
      </x:c>
    </x:row>
    <x:row r="28">
      <x:c r="A28" t="str">
        <x:v>ORD-1027</x:v>
      </x:c>
      <x:c r="B28" s="10" t="n">
        <x:v>45737</x:v>
      </x:c>
      <x:c r="C28" t="str">
        <x:v>Central</x:v>
      </x:c>
      <x:c r="D28" t="str">
        <x:v>SMB</x:v>
      </x:c>
      <x:c r="E28" t="str">
        <x:v>Services</x:v>
      </x:c>
      <x:c r="F28" s="11" t="n">
        <x:v>18198</x:v>
      </x:c>
      <x:c r="G28" s="11" t="n">
        <x:v>10191</x:v>
      </x:c>
      <x:c r="H28" t="n">
        <x:v>58</x:v>
      </x:c>
    </x:row>
    <x:row r="29">
      <x:c r="A29" t="str">
        <x:v>ORD-1028</x:v>
      </x:c>
      <x:c r="B29" s="10" t="n">
        <x:v>45748</x:v>
      </x:c>
      <x:c r="C29" t="str">
        <x:v>South</x:v>
      </x:c>
      <x:c r="D29" t="str">
        <x:v>Enterprise</x:v>
      </x:c>
      <x:c r="E29" t="str">
        <x:v>Software</x:v>
      </x:c>
      <x:c r="F29" s="11" t="n">
        <x:v>20071</x:v>
      </x:c>
      <x:c r="G29" s="11" t="n">
        <x:v>13849</x:v>
      </x:c>
      <x:c r="H29" t="n">
        <x:v>71</x:v>
      </x:c>
    </x:row>
    <x:row r="30">
      <x:c r="A30" t="str">
        <x:v>ORD-1029</x:v>
      </x:c>
      <x:c r="B30" s="10" t="n">
        <x:v>45785</x:v>
      </x:c>
      <x:c r="C30" t="str">
        <x:v>West</x:v>
      </x:c>
      <x:c r="D30" t="str">
        <x:v>Consumer</x:v>
      </x:c>
      <x:c r="E30" t="str">
        <x:v>Hardware</x:v>
      </x:c>
      <x:c r="F30" s="11" t="n">
        <x:v>21944</x:v>
      </x:c>
      <x:c r="G30" s="11" t="n">
        <x:v>12728</x:v>
      </x:c>
      <x:c r="H30" t="n">
        <x:v>12</x:v>
      </x:c>
    </x:row>
    <x:row r="31">
      <x:c r="A31" t="str">
        <x:v>ORD-1030</x:v>
      </x:c>
      <x:c r="B31" s="10" t="n">
        <x:v>45823</x:v>
      </x:c>
      <x:c r="C31" t="str">
        <x:v>East</x:v>
      </x:c>
      <x:c r="D31" t="str">
        <x:v>SMB</x:v>
      </x:c>
      <x:c r="E31" t="str">
        <x:v>Services</x:v>
      </x:c>
      <x:c r="F31" s="11" t="n">
        <x:v>23817</x:v>
      </x:c>
      <x:c r="G31" s="11" t="n">
        <x:v>16910</x:v>
      </x:c>
      <x:c r="H31" t="n">
        <x:v>25</x:v>
      </x:c>
    </x:row>
    <x:row r="32">
      <x:c r="A32" t="str">
        <x:v>ORD-1031</x:v>
      </x:c>
      <x:c r="B32" s="10" t="n">
        <x:v>45860</x:v>
      </x:c>
      <x:c r="C32" t="str">
        <x:v>Central</x:v>
      </x:c>
      <x:c r="D32" t="str">
        <x:v>Enterprise</x:v>
      </x:c>
      <x:c r="E32" t="str">
        <x:v>Software</x:v>
      </x:c>
      <x:c r="F32" s="11" t="n">
        <x:v>7190</x:v>
      </x:c>
      <x:c r="G32" s="11" t="n">
        <x:v>4314</x:v>
      </x:c>
      <x:c r="H32" t="n">
        <x:v>38</x:v>
      </x:c>
    </x:row>
    <x:row r="33">
      <x:c r="A33" t="str">
        <x:v>ORD-1032</x:v>
      </x:c>
      <x:c r="B33" s="10" t="n">
        <x:v>45871</x:v>
      </x:c>
      <x:c r="C33" t="str">
        <x:v>South</x:v>
      </x:c>
      <x:c r="D33" t="str">
        <x:v>Consumer</x:v>
      </x:c>
      <x:c r="E33" t="str">
        <x:v>Hardware</x:v>
      </x:c>
      <x:c r="F33" s="11" t="n">
        <x:v>9063</x:v>
      </x:c>
      <x:c r="G33" s="11" t="n">
        <x:v>6616</x:v>
      </x:c>
      <x:c r="H33" t="n">
        <x:v>51</x:v>
      </x:c>
    </x:row>
    <x:row r="34">
      <x:c r="A34" t="str">
        <x:v>ORD-1033</x:v>
      </x:c>
      <x:c r="B34" s="10" t="n">
        <x:v>45909</x:v>
      </x:c>
      <x:c r="C34" t="str">
        <x:v>West</x:v>
      </x:c>
      <x:c r="D34" t="str">
        <x:v>SMB</x:v>
      </x:c>
      <x:c r="E34" t="str">
        <x:v>Services</x:v>
      </x:c>
      <x:c r="F34" s="11" t="n">
        <x:v>10936</x:v>
      </x:c>
      <x:c r="G34" s="11" t="n">
        <x:v>6780</x:v>
      </x:c>
      <x:c r="H34" t="n">
        <x:v>64</x:v>
      </x:c>
    </x:row>
    <x:row r="35">
      <x:c r="A35" t="str">
        <x:v>ORD-1034</x:v>
      </x:c>
      <x:c r="B35" s="10" t="n">
        <x:v>45946</x:v>
      </x:c>
      <x:c r="C35" t="str">
        <x:v>East</x:v>
      </x:c>
      <x:c r="D35" t="str">
        <x:v>Enterprise</x:v>
      </x:c>
      <x:c r="E35" t="str">
        <x:v>Software</x:v>
      </x:c>
      <x:c r="F35" s="11" t="n">
        <x:v>12809</x:v>
      </x:c>
      <x:c r="G35" s="11" t="n">
        <x:v>9607</x:v>
      </x:c>
      <x:c r="H35" t="n">
        <x:v>77</x:v>
      </x:c>
    </x:row>
    <x:row r="36">
      <x:c r="A36" t="str">
        <x:v>ORD-1035</x:v>
      </x:c>
      <x:c r="B36" s="10" t="n">
        <x:v>45984</x:v>
      </x:c>
      <x:c r="C36" t="str">
        <x:v>Central</x:v>
      </x:c>
      <x:c r="D36" t="str">
        <x:v>Consumer</x:v>
      </x:c>
      <x:c r="E36" t="str">
        <x:v>Hardware</x:v>
      </x:c>
      <x:c r="F36" s="11" t="n">
        <x:v>14682</x:v>
      </x:c>
      <x:c r="G36" s="11" t="n">
        <x:v>9396</x:v>
      </x:c>
      <x:c r="H36" t="n">
        <x:v>18</x:v>
      </x:c>
    </x:row>
    <x:row r="37">
      <x:c r="A37" t="str">
        <x:v>ORD-1036</x:v>
      </x:c>
      <x:c r="B37" s="10" t="n">
        <x:v>45994</x:v>
      </x:c>
      <x:c r="C37" t="str">
        <x:v>South</x:v>
      </x:c>
      <x:c r="D37" t="str">
        <x:v>SMB</x:v>
      </x:c>
      <x:c r="E37" t="str">
        <x:v>Services</x:v>
      </x:c>
      <x:c r="F37" s="11" t="n">
        <x:v>16555</x:v>
      </x:c>
      <x:c r="G37" s="11" t="n">
        <x:v>12747</x:v>
      </x:c>
      <x:c r="H37" t="n">
        <x:v>31</x:v>
      </x:c>
    </x:row>
    <x:row r="38">
      <x:c r="A38" t="str">
        <x:v>ORD-1037</x:v>
      </x:c>
      <x:c r="B38" s="10" t="n">
        <x:v>45667</x:v>
      </x:c>
      <x:c r="C38" t="str">
        <x:v>West</x:v>
      </x:c>
      <x:c r="D38" t="str">
        <x:v>Enterprise</x:v>
      </x:c>
      <x:c r="E38" t="str">
        <x:v>Software</x:v>
      </x:c>
      <x:c r="F38" s="11" t="n">
        <x:v>18428</x:v>
      </x:c>
      <x:c r="G38" s="11" t="n">
        <x:v>12162</x:v>
      </x:c>
      <x:c r="H38" t="n">
        <x:v>44</x:v>
      </x:c>
    </x:row>
    <x:row r="39">
      <x:c r="A39" t="str">
        <x:v>ORD-1038</x:v>
      </x:c>
      <x:c r="B39" s="10" t="n">
        <x:v>45705</x:v>
      </x:c>
      <x:c r="C39" t="str">
        <x:v>East</x:v>
      </x:c>
      <x:c r="D39" t="str">
        <x:v>Consumer</x:v>
      </x:c>
      <x:c r="E39" t="str">
        <x:v>Hardware</x:v>
      </x:c>
      <x:c r="F39" s="11" t="n">
        <x:v>20301</x:v>
      </x:c>
      <x:c r="G39" s="11" t="n">
        <x:v>11166</x:v>
      </x:c>
      <x:c r="H39" t="n">
        <x:v>57</x:v>
      </x:c>
    </x:row>
    <x:row r="40">
      <x:c r="A40" t="str">
        <x:v>ORD-1039</x:v>
      </x:c>
      <x:c r="B40" s="10" t="n">
        <x:v>45740</x:v>
      </x:c>
      <x:c r="C40" t="str">
        <x:v>Central</x:v>
      </x:c>
      <x:c r="D40" t="str">
        <x:v>SMB</x:v>
      </x:c>
      <x:c r="E40" t="str">
        <x:v>Services</x:v>
      </x:c>
      <x:c r="F40" s="11" t="n">
        <x:v>22174</x:v>
      </x:c>
      <x:c r="G40" s="11" t="n">
        <x:v>15078</x:v>
      </x:c>
      <x:c r="H40" t="n">
        <x:v>70</x:v>
      </x:c>
    </x:row>
    <x:row r="41">
      <x:c r="A41" t="str">
        <x:v>ORD-1040</x:v>
      </x:c>
      <x:c r="B41" s="10" t="n">
        <x:v>45751</x:v>
      </x:c>
      <x:c r="C41" t="str">
        <x:v>South</x:v>
      </x:c>
      <x:c r="D41" t="str">
        <x:v>Enterprise</x:v>
      </x:c>
      <x:c r="E41" t="str">
        <x:v>Software</x:v>
      </x:c>
      <x:c r="F41" s="11" t="n">
        <x:v>24047</x:v>
      </x:c>
      <x:c r="G41" s="11" t="n">
        <x:v>13707</x:v>
      </x:c>
      <x:c r="H41" t="n">
        <x:v>11</x:v>
      </x:c>
    </x:row>
    <x:row r="42">
      <x:c r="A42" t="str">
        <x:v>ORD-1041</x:v>
      </x:c>
      <x:c r="B42" s="10" t="n">
        <x:v>45788</x:v>
      </x:c>
      <x:c r="C42" t="str">
        <x:v>West</x:v>
      </x:c>
      <x:c r="D42" t="str">
        <x:v>Consumer</x:v>
      </x:c>
      <x:c r="E42" t="str">
        <x:v>Hardware</x:v>
      </x:c>
      <x:c r="F42" s="11" t="n">
        <x:v>7420</x:v>
      </x:c>
      <x:c r="G42" s="11" t="n">
        <x:v>5194</x:v>
      </x:c>
      <x:c r="H42" t="n">
        <x:v>24</x:v>
      </x:c>
    </x:row>
    <x:row r="43">
      <x:c r="A43" t="str">
        <x:v>ORD-1042</x:v>
      </x:c>
      <x:c r="B43" s="10" t="n">
        <x:v>45826</x:v>
      </x:c>
      <x:c r="C43" t="str">
        <x:v>East</x:v>
      </x:c>
      <x:c r="D43" t="str">
        <x:v>SMB</x:v>
      </x:c>
      <x:c r="E43" t="str">
        <x:v>Services</x:v>
      </x:c>
      <x:c r="F43" s="11" t="n">
        <x:v>9293</x:v>
      </x:c>
      <x:c r="G43" s="11" t="n">
        <x:v>5483</x:v>
      </x:c>
      <x:c r="H43" t="n">
        <x:v>37</x:v>
      </x:c>
    </x:row>
    <x:row r="44">
      <x:c r="A44" t="str">
        <x:v>ORD-1043</x:v>
      </x:c>
      <x:c r="B44" s="10" t="n">
        <x:v>45863</x:v>
      </x:c>
      <x:c r="C44" t="str">
        <x:v>Central</x:v>
      </x:c>
      <x:c r="D44" t="str">
        <x:v>Enterprise</x:v>
      </x:c>
      <x:c r="E44" t="str">
        <x:v>Software</x:v>
      </x:c>
      <x:c r="F44" s="11" t="n">
        <x:v>11166</x:v>
      </x:c>
      <x:c r="G44" s="11" t="n">
        <x:v>8040</x:v>
      </x:c>
      <x:c r="H44" t="n">
        <x:v>50</x:v>
      </x:c>
    </x:row>
    <x:row r="45">
      <x:c r="A45" t="str">
        <x:v>ORD-1044</x:v>
      </x:c>
      <x:c r="B45" s="10" t="n">
        <x:v>45874</x:v>
      </x:c>
      <x:c r="C45" t="str">
        <x:v>South</x:v>
      </x:c>
      <x:c r="D45" t="str">
        <x:v>Consumer</x:v>
      </x:c>
      <x:c r="E45" t="str">
        <x:v>Hardware</x:v>
      </x:c>
      <x:c r="F45" s="11" t="n">
        <x:v>13039</x:v>
      </x:c>
      <x:c r="G45" s="11" t="n">
        <x:v>7954</x:v>
      </x:c>
      <x:c r="H45" t="n">
        <x:v>63</x:v>
      </x:c>
    </x:row>
    <x:row r="46">
      <x:c r="A46" t="str">
        <x:v>ORD-1045</x:v>
      </x:c>
      <x:c r="B46" s="10" t="n">
        <x:v>45912</x:v>
      </x:c>
      <x:c r="C46" t="str">
        <x:v>West</x:v>
      </x:c>
      <x:c r="D46" t="str">
        <x:v>SMB</x:v>
      </x:c>
      <x:c r="E46" t="str">
        <x:v>Services</x:v>
      </x:c>
      <x:c r="F46" s="11" t="n">
        <x:v>14912</x:v>
      </x:c>
      <x:c r="G46" s="11" t="n">
        <x:v>11035</x:v>
      </x:c>
      <x:c r="H46" t="n">
        <x:v>76</x:v>
      </x:c>
    </x:row>
    <x:row r="47">
      <x:c r="A47" t="str">
        <x:v>ORD-1046</x:v>
      </x:c>
      <x:c r="B47" s="10" t="n">
        <x:v>45949</x:v>
      </x:c>
      <x:c r="C47" t="str">
        <x:v>East</x:v>
      </x:c>
      <x:c r="D47" t="str">
        <x:v>Enterprise</x:v>
      </x:c>
      <x:c r="E47" t="str">
        <x:v>Software</x:v>
      </x:c>
      <x:c r="F47" s="11" t="n">
        <x:v>16785</x:v>
      </x:c>
      <x:c r="G47" s="11" t="n">
        <x:v>10575</x:v>
      </x:c>
      <x:c r="H47" t="n">
        <x:v>17</x:v>
      </x:c>
    </x:row>
    <x:row r="48">
      <x:c r="A48" t="str">
        <x:v>ORD-1047</x:v>
      </x:c>
      <x:c r="B48" s="10" t="n">
        <x:v>45987</x:v>
      </x:c>
      <x:c r="C48" t="str">
        <x:v>Central</x:v>
      </x:c>
      <x:c r="D48" t="str">
        <x:v>Consumer</x:v>
      </x:c>
      <x:c r="E48" t="str">
        <x:v>Hardware</x:v>
      </x:c>
      <x:c r="F48" s="11" t="n">
        <x:v>18658</x:v>
      </x:c>
      <x:c r="G48" s="11" t="n">
        <x:v>14180</x:v>
      </x:c>
      <x:c r="H48" t="n">
        <x:v>30</x:v>
      </x:c>
    </x:row>
    <x:row r="49">
      <x:c r="A49" t="str">
        <x:v>ORD-1048</x:v>
      </x:c>
      <x:c r="B49" s="10" t="n">
        <x:v>45997</x:v>
      </x:c>
      <x:c r="C49" t="str">
        <x:v>South</x:v>
      </x:c>
      <x:c r="D49" t="str">
        <x:v>SMB</x:v>
      </x:c>
      <x:c r="E49" t="str">
        <x:v>Services</x:v>
      </x:c>
      <x:c r="F49" s="11" t="n">
        <x:v>20531</x:v>
      </x:c>
      <x:c r="G49" s="11" t="n">
        <x:v>13345</x:v>
      </x:c>
      <x:c r="H49" t="n">
        <x:v>43</x:v>
      </x:c>
    </x:row>
    <x:row r="50">
      <x:c r="A50" t="str">
        <x:v>ORD-1049</x:v>
      </x:c>
      <x:c r="B50" s="10" t="n">
        <x:v>45670</x:v>
      </x:c>
      <x:c r="C50" t="str">
        <x:v>West</x:v>
      </x:c>
      <x:c r="D50" t="str">
        <x:v>Enterprise</x:v>
      </x:c>
      <x:c r="E50" t="str">
        <x:v>Software</x:v>
      </x:c>
      <x:c r="F50" s="11" t="n">
        <x:v>22404</x:v>
      </x:c>
      <x:c r="G50" s="11" t="n">
        <x:v>17475</x:v>
      </x:c>
      <x:c r="H50" t="n">
        <x:v>56</x:v>
      </x:c>
    </x:row>
    <x:row r="51">
      <x:c r="A51" t="str">
        <x:v>ORD-1050</x:v>
      </x:c>
      <x:c r="B51" s="10" t="n">
        <x:v>45708</x:v>
      </x:c>
      <x:c r="C51" t="str">
        <x:v>East</x:v>
      </x:c>
      <x:c r="D51" t="str">
        <x:v>Consumer</x:v>
      </x:c>
      <x:c r="E51" t="str">
        <x:v>Hardware</x:v>
      </x:c>
      <x:c r="F51" s="11" t="n">
        <x:v>24277</x:v>
      </x:c>
      <x:c r="G51" s="11" t="n">
        <x:v>16266</x:v>
      </x:c>
      <x:c r="H51" t="n">
        <x:v>69</x:v>
      </x:c>
    </x:row>
    <x:row r="52">
      <x:c r="A52" t="str">
        <x:v>ORD-1051</x:v>
      </x:c>
      <x:c r="B52" s="10" t="n">
        <x:v>45743</x:v>
      </x:c>
      <x:c r="C52" t="str">
        <x:v>Central</x:v>
      </x:c>
      <x:c r="D52" t="str">
        <x:v>SMB</x:v>
      </x:c>
      <x:c r="E52" t="str">
        <x:v>Services</x:v>
      </x:c>
      <x:c r="F52" s="11" t="n">
        <x:v>7650</x:v>
      </x:c>
      <x:c r="G52" s="11" t="n">
        <x:v>4284</x:v>
      </x:c>
      <x:c r="H52" t="n">
        <x:v>10</x:v>
      </x:c>
    </x:row>
    <x:row r="53">
      <x:c r="A53" t="str">
        <x:v>ORD-1052</x:v>
      </x:c>
      <x:c r="B53" s="10" t="n">
        <x:v>45754</x:v>
      </x:c>
      <x:c r="C53" t="str">
        <x:v>South</x:v>
      </x:c>
      <x:c r="D53" t="str">
        <x:v>Enterprise</x:v>
      </x:c>
      <x:c r="E53" t="str">
        <x:v>Software</x:v>
      </x:c>
      <x:c r="F53" s="11" t="n">
        <x:v>9523</x:v>
      </x:c>
      <x:c r="G53" s="11" t="n">
        <x:v>6571</x:v>
      </x:c>
      <x:c r="H53" t="n">
        <x:v>23</x:v>
      </x:c>
    </x:row>
    <x:row r="54">
      <x:c r="A54" t="str">
        <x:v>ORD-1053</x:v>
      </x:c>
      <x:c r="B54" s="10" t="n">
        <x:v>45791</x:v>
      </x:c>
      <x:c r="C54" t="str">
        <x:v>West</x:v>
      </x:c>
      <x:c r="D54" t="str">
        <x:v>Consumer</x:v>
      </x:c>
      <x:c r="E54" t="str">
        <x:v>Hardware</x:v>
      </x:c>
      <x:c r="F54" s="11" t="n">
        <x:v>11396</x:v>
      </x:c>
      <x:c r="G54" s="11" t="n">
        <x:v>6610</x:v>
      </x:c>
      <x:c r="H54" t="n">
        <x:v>36</x:v>
      </x:c>
    </x:row>
    <x:row r="55">
      <x:c r="A55" t="str">
        <x:v>ORD-1054</x:v>
      </x:c>
      <x:c r="B55" s="10" t="n">
        <x:v>45829</x:v>
      </x:c>
      <x:c r="C55" t="str">
        <x:v>East</x:v>
      </x:c>
      <x:c r="D55" t="str">
        <x:v>SMB</x:v>
      </x:c>
      <x:c r="E55" t="str">
        <x:v>Services</x:v>
      </x:c>
      <x:c r="F55" s="11" t="n">
        <x:v>13269</x:v>
      </x:c>
      <x:c r="G55" s="11" t="n">
        <x:v>9421</x:v>
      </x:c>
      <x:c r="H55" t="n">
        <x:v>49</x:v>
      </x:c>
    </x:row>
    <x:row r="56">
      <x:c r="A56" t="str">
        <x:v>ORD-1055</x:v>
      </x:c>
      <x:c r="B56" s="10" t="n">
        <x:v>45839</x:v>
      </x:c>
      <x:c r="C56" t="str">
        <x:v>Central</x:v>
      </x:c>
      <x:c r="D56" t="str">
        <x:v>Enterprise</x:v>
      </x:c>
      <x:c r="E56" t="str">
        <x:v>Software</x:v>
      </x:c>
      <x:c r="F56" s="11" t="n">
        <x:v>15142</x:v>
      </x:c>
      <x:c r="G56" s="11" t="n">
        <x:v>9085</x:v>
      </x:c>
      <x:c r="H56" t="n">
        <x:v>62</x:v>
      </x:c>
    </x:row>
    <x:row r="57">
      <x:c r="A57" t="str">
        <x:v>ORD-1056</x:v>
      </x:c>
      <x:c r="B57" s="10" t="n">
        <x:v>45877</x:v>
      </x:c>
      <x:c r="C57" t="str">
        <x:v>South</x:v>
      </x:c>
      <x:c r="D57" t="str">
        <x:v>Consumer</x:v>
      </x:c>
      <x:c r="E57" t="str">
        <x:v>Hardware</x:v>
      </x:c>
      <x:c r="F57" s="11" t="n">
        <x:v>17015</x:v>
      </x:c>
      <x:c r="G57" s="11" t="n">
        <x:v>12421</x:v>
      </x:c>
      <x:c r="H57" t="n">
        <x:v>75</x:v>
      </x:c>
    </x:row>
    <x:row r="58">
      <x:c r="A58" t="str">
        <x:v>ORD-1057</x:v>
      </x:c>
      <x:c r="B58" s="10" t="n">
        <x:v>45915</x:v>
      </x:c>
      <x:c r="C58" t="str">
        <x:v>West</x:v>
      </x:c>
      <x:c r="D58" t="str">
        <x:v>SMB</x:v>
      </x:c>
      <x:c r="E58" t="str">
        <x:v>Services</x:v>
      </x:c>
      <x:c r="F58" s="11" t="n">
        <x:v>18888</x:v>
      </x:c>
      <x:c r="G58" s="11" t="n">
        <x:v>11711</x:v>
      </x:c>
      <x:c r="H58" t="n">
        <x:v>16</x:v>
      </x:c>
    </x:row>
    <x:row r="59">
      <x:c r="A59" t="str">
        <x:v>ORD-1058</x:v>
      </x:c>
      <x:c r="B59" s="10" t="n">
        <x:v>45952</x:v>
      </x:c>
      <x:c r="C59" t="str">
        <x:v>East</x:v>
      </x:c>
      <x:c r="D59" t="str">
        <x:v>Enterprise</x:v>
      </x:c>
      <x:c r="E59" t="str">
        <x:v>Software</x:v>
      </x:c>
      <x:c r="F59" s="11" t="n">
        <x:v>20761</x:v>
      </x:c>
      <x:c r="G59" s="11" t="n">
        <x:v>15571</x:v>
      </x:c>
      <x:c r="H59" t="n">
        <x:v>29</x:v>
      </x:c>
    </x:row>
    <x:row r="60">
      <x:c r="A60" t="str">
        <x:v>ORD-1059</x:v>
      </x:c>
      <x:c r="B60" s="10" t="n">
        <x:v>45963</x:v>
      </x:c>
      <x:c r="C60" t="str">
        <x:v>Central</x:v>
      </x:c>
      <x:c r="D60" t="str">
        <x:v>Consumer</x:v>
      </x:c>
      <x:c r="E60" t="str">
        <x:v>Hardware</x:v>
      </x:c>
      <x:c r="F60" s="11" t="n">
        <x:v>22634</x:v>
      </x:c>
      <x:c r="G60" s="11" t="n">
        <x:v>14486</x:v>
      </x:c>
      <x:c r="H60" t="n">
        <x:v>42</x:v>
      </x:c>
    </x:row>
    <x:row r="61">
      <x:c r="A61" t="str">
        <x:v>ORD-1060</x:v>
      </x:c>
      <x:c r="B61" s="10" t="n">
        <x:v>46000</x:v>
      </x:c>
      <x:c r="C61" t="str">
        <x:v>South</x:v>
      </x:c>
      <x:c r="D61" t="str">
        <x:v>SMB</x:v>
      </x:c>
      <x:c r="E61" t="str">
        <x:v>Services</x:v>
      </x:c>
      <x:c r="F61" s="11" t="n">
        <x:v>24507</x:v>
      </x:c>
      <x:c r="G61" s="11" t="n">
        <x:v>18870</x:v>
      </x:c>
      <x:c r="H61" t="n">
        <x:v>55</x:v>
      </x:c>
    </x:row>
    <x:row r="62">
      <x:c r="A62" t="str">
        <x:v>ORD-1061</x:v>
      </x:c>
      <x:c r="B62" s="10" t="n">
        <x:v>45673</x:v>
      </x:c>
      <x:c r="C62" t="str">
        <x:v>West</x:v>
      </x:c>
      <x:c r="D62" t="str">
        <x:v>Enterprise</x:v>
      </x:c>
      <x:c r="E62" t="str">
        <x:v>Software</x:v>
      </x:c>
      <x:c r="F62" s="11" t="n">
        <x:v>7880</x:v>
      </x:c>
      <x:c r="G62" s="11" t="n">
        <x:v>5201</x:v>
      </x:c>
      <x:c r="H62" t="n">
        <x:v>68</x:v>
      </x:c>
    </x:row>
    <x:row r="63">
      <x:c r="A63" t="str">
        <x:v>ORD-1062</x:v>
      </x:c>
      <x:c r="B63" s="10" t="n">
        <x:v>45711</x:v>
      </x:c>
      <x:c r="C63" t="str">
        <x:v>East</x:v>
      </x:c>
      <x:c r="D63" t="str">
        <x:v>Consumer</x:v>
      </x:c>
      <x:c r="E63" t="str">
        <x:v>Hardware</x:v>
      </x:c>
      <x:c r="F63" s="11" t="n">
        <x:v>9753</x:v>
      </x:c>
      <x:c r="G63" s="11" t="n">
        <x:v>5364</x:v>
      </x:c>
      <x:c r="H63" t="n">
        <x:v>9</x:v>
      </x:c>
    </x:row>
    <x:row r="64">
      <x:c r="A64" t="str">
        <x:v>ORD-1063</x:v>
      </x:c>
      <x:c r="B64" s="10" t="n">
        <x:v>45719</x:v>
      </x:c>
      <x:c r="C64" t="str">
        <x:v>Central</x:v>
      </x:c>
      <x:c r="D64" t="str">
        <x:v>SMB</x:v>
      </x:c>
      <x:c r="E64" t="str">
        <x:v>Services</x:v>
      </x:c>
      <x:c r="F64" s="11" t="n">
        <x:v>11626</x:v>
      </x:c>
      <x:c r="G64" s="11" t="n">
        <x:v>7906</x:v>
      </x:c>
      <x:c r="H64" t="n">
        <x:v>22</x:v>
      </x:c>
    </x:row>
    <x:row r="65">
      <x:c r="A65" t="str">
        <x:v>ORD-1064</x:v>
      </x:c>
      <x:c r="B65" s="10" t="n">
        <x:v>45757</x:v>
      </x:c>
      <x:c r="C65" t="str">
        <x:v>South</x:v>
      </x:c>
      <x:c r="D65" t="str">
        <x:v>Enterprise</x:v>
      </x:c>
      <x:c r="E65" t="str">
        <x:v>Software</x:v>
      </x:c>
      <x:c r="F65" s="11" t="n">
        <x:v>13499</x:v>
      </x:c>
      <x:c r="G65" s="11" t="n">
        <x:v>7694</x:v>
      </x:c>
      <x:c r="H65" t="n">
        <x:v>35</x:v>
      </x:c>
    </x:row>
    <x:row r="66">
      <x:c r="A66" t="str">
        <x:v>ORD-1065</x:v>
      </x:c>
      <x:c r="B66" s="10" t="n">
        <x:v>45794</x:v>
      </x:c>
      <x:c r="C66" t="str">
        <x:v>West</x:v>
      </x:c>
      <x:c r="D66" t="str">
        <x:v>Consumer</x:v>
      </x:c>
      <x:c r="E66" t="str">
        <x:v>Hardware</x:v>
      </x:c>
      <x:c r="F66" s="11" t="n">
        <x:v>15372</x:v>
      </x:c>
      <x:c r="G66" s="11" t="n">
        <x:v>10760</x:v>
      </x:c>
      <x:c r="H66" t="n">
        <x:v>48</x:v>
      </x:c>
    </x:row>
    <x:row r="67">
      <x:c r="A67" t="str">
        <x:v>ORD-1066</x:v>
      </x:c>
      <x:c r="B67" s="10" t="n">
        <x:v>45832</x:v>
      </x:c>
      <x:c r="C67" t="str">
        <x:v>East</x:v>
      </x:c>
      <x:c r="D67" t="str">
        <x:v>SMB</x:v>
      </x:c>
      <x:c r="E67" t="str">
        <x:v>Services</x:v>
      </x:c>
      <x:c r="F67" s="11" t="n">
        <x:v>17245</x:v>
      </x:c>
      <x:c r="G67" s="11" t="n">
        <x:v>10175</x:v>
      </x:c>
      <x:c r="H67" t="n">
        <x:v>61</x:v>
      </x:c>
    </x:row>
    <x:row r="68">
      <x:c r="A68" t="str">
        <x:v>ORD-1067</x:v>
      </x:c>
      <x:c r="B68" s="10" t="n">
        <x:v>45842</x:v>
      </x:c>
      <x:c r="C68" t="str">
        <x:v>Central</x:v>
      </x:c>
      <x:c r="D68" t="str">
        <x:v>Enterprise</x:v>
      </x:c>
      <x:c r="E68" t="str">
        <x:v>Software</x:v>
      </x:c>
      <x:c r="F68" s="11" t="n">
        <x:v>19118</x:v>
      </x:c>
      <x:c r="G68" s="11" t="n">
        <x:v>13765</x:v>
      </x:c>
      <x:c r="H68" t="n">
        <x:v>74</x:v>
      </x:c>
    </x:row>
    <x:row r="69">
      <x:c r="A69" t="str">
        <x:v>ORD-1068</x:v>
      </x:c>
      <x:c r="B69" s="10" t="n">
        <x:v>45880</x:v>
      </x:c>
      <x:c r="C69" t="str">
        <x:v>South</x:v>
      </x:c>
      <x:c r="D69" t="str">
        <x:v>Consumer</x:v>
      </x:c>
      <x:c r="E69" t="str">
        <x:v>Hardware</x:v>
      </x:c>
      <x:c r="F69" s="11" t="n">
        <x:v>20991</x:v>
      </x:c>
      <x:c r="G69" s="11" t="n">
        <x:v>12805</x:v>
      </x:c>
      <x:c r="H69" t="n">
        <x:v>15</x:v>
      </x:c>
    </x:row>
    <x:row r="70">
      <x:c r="A70" t="str">
        <x:v>ORD-1069</x:v>
      </x:c>
      <x:c r="B70" s="10" t="n">
        <x:v>45918</x:v>
      </x:c>
      <x:c r="C70" t="str">
        <x:v>West</x:v>
      </x:c>
      <x:c r="D70" t="str">
        <x:v>SMB</x:v>
      </x:c>
      <x:c r="E70" t="str">
        <x:v>Services</x:v>
      </x:c>
      <x:c r="F70" s="11" t="n">
        <x:v>22864</x:v>
      </x:c>
      <x:c r="G70" s="11" t="n">
        <x:v>16919</x:v>
      </x:c>
      <x:c r="H70" t="n">
        <x:v>28</x:v>
      </x:c>
    </x:row>
    <x:row r="71">
      <x:c r="A71" t="str">
        <x:v>ORD-1070</x:v>
      </x:c>
      <x:c r="B71" s="10" t="n">
        <x:v>45955</x:v>
      </x:c>
      <x:c r="C71" t="str">
        <x:v>East</x:v>
      </x:c>
      <x:c r="D71" t="str">
        <x:v>Enterprise</x:v>
      </x:c>
      <x:c r="E71" t="str">
        <x:v>Software</x:v>
      </x:c>
      <x:c r="F71" s="11" t="n">
        <x:v>24737</x:v>
      </x:c>
      <x:c r="G71" s="11" t="n">
        <x:v>15584</x:v>
      </x:c>
      <x:c r="H71" t="n">
        <x:v>41</x:v>
      </x:c>
    </x:row>
    <x:row r="72">
      <x:c r="A72" t="str">
        <x:v>ORD-1071</x:v>
      </x:c>
      <x:c r="B72" s="10" t="n">
        <x:v>45966</x:v>
      </x:c>
      <x:c r="C72" t="str">
        <x:v>Central</x:v>
      </x:c>
      <x:c r="D72" t="str">
        <x:v>Consumer</x:v>
      </x:c>
      <x:c r="E72" t="str">
        <x:v>Hardware</x:v>
      </x:c>
      <x:c r="F72" s="11" t="n">
        <x:v>8110</x:v>
      </x:c>
      <x:c r="G72" s="11" t="n">
        <x:v>6164</x:v>
      </x:c>
      <x:c r="H72" t="n">
        <x:v>54</x:v>
      </x:c>
    </x:row>
    <x:row r="73">
      <x:c r="A73" t="str">
        <x:v>ORD-1072</x:v>
      </x:c>
      <x:c r="B73" s="10" t="n">
        <x:v>46003</x:v>
      </x:c>
      <x:c r="C73" t="str">
        <x:v>South</x:v>
      </x:c>
      <x:c r="D73" t="str">
        <x:v>SMB</x:v>
      </x:c>
      <x:c r="E73" t="str">
        <x:v>Services</x:v>
      </x:c>
      <x:c r="F73" s="11" t="n">
        <x:v>9983</x:v>
      </x:c>
      <x:c r="G73" s="11" t="n">
        <x:v>6489</x:v>
      </x:c>
      <x:c r="H73" t="n">
        <x:v>67</x:v>
      </x:c>
    </x:row>
    <x:row r="74">
      <x:c r="A74" t="str">
        <x:v>ORD-1073</x:v>
      </x:c>
      <x:c r="B74" s="10" t="n">
        <x:v>45676</x:v>
      </x:c>
      <x:c r="C74" t="str">
        <x:v>West</x:v>
      </x:c>
      <x:c r="D74" t="str">
        <x:v>Enterprise</x:v>
      </x:c>
      <x:c r="E74" t="str">
        <x:v>Software</x:v>
      </x:c>
      <x:c r="F74" s="11" t="n">
        <x:v>11856</x:v>
      </x:c>
      <x:c r="G74" s="11" t="n">
        <x:v>9248</x:v>
      </x:c>
      <x:c r="H74" t="n">
        <x:v>8</x:v>
      </x:c>
    </x:row>
    <x:row r="75">
      <x:c r="A75" t="str">
        <x:v>ORD-1074</x:v>
      </x:c>
      <x:c r="B75" s="10" t="n">
        <x:v>45714</x:v>
      </x:c>
      <x:c r="C75" t="str">
        <x:v>East</x:v>
      </x:c>
      <x:c r="D75" t="str">
        <x:v>Consumer</x:v>
      </x:c>
      <x:c r="E75" t="str">
        <x:v>Hardware</x:v>
      </x:c>
      <x:c r="F75" s="11" t="n">
        <x:v>13729</x:v>
      </x:c>
      <x:c r="G75" s="11" t="n">
        <x:v>9198</x:v>
      </x:c>
      <x:c r="H75" t="n">
        <x:v>21</x:v>
      </x:c>
    </x:row>
    <x:row r="76">
      <x:c r="A76" t="str">
        <x:v>ORD-1075</x:v>
      </x:c>
      <x:c r="B76" s="10" t="n">
        <x:v>45722</x:v>
      </x:c>
      <x:c r="C76" t="str">
        <x:v>Central</x:v>
      </x:c>
      <x:c r="D76" t="str">
        <x:v>SMB</x:v>
      </x:c>
      <x:c r="E76" t="str">
        <x:v>Services</x:v>
      </x:c>
      <x:c r="F76" s="11" t="n">
        <x:v>15602</x:v>
      </x:c>
      <x:c r="G76" s="11" t="n">
        <x:v>8737</x:v>
      </x:c>
      <x:c r="H76" t="n">
        <x:v>34</x:v>
      </x:c>
    </x:row>
    <x:row r="77">
      <x:c r="A77" t="str">
        <x:v>ORD-1076</x:v>
      </x:c>
      <x:c r="B77" s="10" t="n">
        <x:v>45760</x:v>
      </x:c>
      <x:c r="C77" t="str">
        <x:v>South</x:v>
      </x:c>
      <x:c r="D77" t="str">
        <x:v>Enterprise</x:v>
      </x:c>
      <x:c r="E77" t="str">
        <x:v>Software</x:v>
      </x:c>
      <x:c r="F77" s="11" t="n">
        <x:v>17475</x:v>
      </x:c>
      <x:c r="G77" s="11" t="n">
        <x:v>12058</x:v>
      </x:c>
      <x:c r="H77" t="n">
        <x:v>47</x:v>
      </x:c>
    </x:row>
    <x:row r="78">
      <x:c r="A78" t="str">
        <x:v>ORD-1077</x:v>
      </x:c>
      <x:c r="B78" s="10" t="n">
        <x:v>45797</x:v>
      </x:c>
      <x:c r="C78" t="str">
        <x:v>West</x:v>
      </x:c>
      <x:c r="D78" t="str">
        <x:v>Consumer</x:v>
      </x:c>
      <x:c r="E78" t="str">
        <x:v>Hardware</x:v>
      </x:c>
      <x:c r="F78" s="11" t="n">
        <x:v>19348</x:v>
      </x:c>
      <x:c r="G78" s="11" t="n">
        <x:v>11222</x:v>
      </x:c>
      <x:c r="H78" t="n">
        <x:v>60</x:v>
      </x:c>
    </x:row>
    <x:row r="79">
      <x:c r="A79" t="str">
        <x:v>ORD-1078</x:v>
      </x:c>
      <x:c r="B79" s="10" t="n">
        <x:v>45835</x:v>
      </x:c>
      <x:c r="C79" t="str">
        <x:v>East</x:v>
      </x:c>
      <x:c r="D79" t="str">
        <x:v>SMB</x:v>
      </x:c>
      <x:c r="E79" t="str">
        <x:v>Services</x:v>
      </x:c>
      <x:c r="F79" s="11" t="n">
        <x:v>21221</x:v>
      </x:c>
      <x:c r="G79" s="11" t="n">
        <x:v>15067</x:v>
      </x:c>
      <x:c r="H79" t="n">
        <x:v>73</x:v>
      </x:c>
    </x:row>
    <x:row r="80">
      <x:c r="A80" t="str">
        <x:v>ORD-1079</x:v>
      </x:c>
      <x:c r="B80" s="10" t="n">
        <x:v>45845</x:v>
      </x:c>
      <x:c r="C80" t="str">
        <x:v>Central</x:v>
      </x:c>
      <x:c r="D80" t="str">
        <x:v>Enterprise</x:v>
      </x:c>
      <x:c r="E80" t="str">
        <x:v>Software</x:v>
      </x:c>
      <x:c r="F80" s="11" t="n">
        <x:v>23094</x:v>
      </x:c>
      <x:c r="G80" s="11" t="n">
        <x:v>13856</x:v>
      </x:c>
      <x:c r="H80" t="n">
        <x:v>14</x:v>
      </x:c>
    </x:row>
    <x:row r="81">
      <x:c r="A81" t="str">
        <x:v>ORD-1080</x:v>
      </x:c>
      <x:c r="B81" s="10" t="n">
        <x:v>45883</x:v>
      </x:c>
      <x:c r="C81" t="str">
        <x:v>South</x:v>
      </x:c>
      <x:c r="D81" t="str">
        <x:v>Consumer</x:v>
      </x:c>
      <x:c r="E81" t="str">
        <x:v>Hardware</x:v>
      </x:c>
      <x:c r="F81" s="11" t="n">
        <x:v>24967</x:v>
      </x:c>
      <x:c r="G81" s="11" t="n">
        <x:v>18226</x:v>
      </x:c>
      <x:c r="H81" t="n">
        <x:v>27</x:v>
      </x:c>
    </x:row>
    <x:row r="82">
      <x:c r="A82" t="str">
        <x:v>ORD-1081</x:v>
      </x:c>
      <x:c r="B82" s="10" t="n">
        <x:v>45921</x:v>
      </x:c>
      <x:c r="C82" t="str">
        <x:v>West</x:v>
      </x:c>
      <x:c r="D82" t="str">
        <x:v>SMB</x:v>
      </x:c>
      <x:c r="E82" t="str">
        <x:v>Services</x:v>
      </x:c>
      <x:c r="F82" s="11" t="n">
        <x:v>8340</x:v>
      </x:c>
      <x:c r="G82" s="11" t="n">
        <x:v>5171</x:v>
      </x:c>
      <x:c r="H82" t="n">
        <x:v>40</x:v>
      </x:c>
    </x:row>
    <x:row r="83">
      <x:c r="A83" t="str">
        <x:v>ORD-1082</x:v>
      </x:c>
      <x:c r="B83" s="10" t="n">
        <x:v>45931</x:v>
      </x:c>
      <x:c r="C83" t="str">
        <x:v>East</x:v>
      </x:c>
      <x:c r="D83" t="str">
        <x:v>Enterprise</x:v>
      </x:c>
      <x:c r="E83" t="str">
        <x:v>Software</x:v>
      </x:c>
      <x:c r="F83" s="11" t="n">
        <x:v>10213</x:v>
      </x:c>
      <x:c r="G83" s="11" t="n">
        <x:v>7660</x:v>
      </x:c>
      <x:c r="H83" t="n">
        <x:v>53</x:v>
      </x:c>
    </x:row>
    <x:row r="84">
      <x:c r="A84" t="str">
        <x:v>ORD-1083</x:v>
      </x:c>
      <x:c r="B84" s="10" t="n">
        <x:v>45969</x:v>
      </x:c>
      <x:c r="C84" t="str">
        <x:v>Central</x:v>
      </x:c>
      <x:c r="D84" t="str">
        <x:v>Consumer</x:v>
      </x:c>
      <x:c r="E84" t="str">
        <x:v>Hardware</x:v>
      </x:c>
      <x:c r="F84" s="11" t="n">
        <x:v>12086</x:v>
      </x:c>
      <x:c r="G84" s="11" t="n">
        <x:v>7735</x:v>
      </x:c>
      <x:c r="H84" t="n">
        <x:v>66</x:v>
      </x:c>
    </x:row>
    <x:row r="85">
      <x:c r="A85" t="str">
        <x:v>ORD-1084</x:v>
      </x:c>
      <x:c r="B85" s="10" t="n">
        <x:v>46006</x:v>
      </x:c>
      <x:c r="C85" t="str">
        <x:v>South</x:v>
      </x:c>
      <x:c r="D85" t="str">
        <x:v>SMB</x:v>
      </x:c>
      <x:c r="E85" t="str">
        <x:v>Services</x:v>
      </x:c>
      <x:c r="F85" s="11" t="n">
        <x:v>13959</x:v>
      </x:c>
      <x:c r="G85" s="11" t="n">
        <x:v>10748</x:v>
      </x:c>
      <x:c r="H85" t="n">
        <x:v>79</x:v>
      </x:c>
    </x:row>
    <x:row r="86">
      <x:c r="A86" t="str">
        <x:v>ORD-1085</x:v>
      </x:c>
      <x:c r="B86" s="10" t="n">
        <x:v>45679</x:v>
      </x:c>
      <x:c r="C86" t="str">
        <x:v>West</x:v>
      </x:c>
      <x:c r="D86" t="str">
        <x:v>Enterprise</x:v>
      </x:c>
      <x:c r="E86" t="str">
        <x:v>Software</x:v>
      </x:c>
      <x:c r="F86" s="11" t="n">
        <x:v>15832</x:v>
      </x:c>
      <x:c r="G86" s="11" t="n">
        <x:v>10449</x:v>
      </x:c>
      <x:c r="H86" t="n">
        <x:v>20</x:v>
      </x:c>
    </x:row>
    <x:row r="87">
      <x:c r="A87" t="str">
        <x:v>ORD-1086</x:v>
      </x:c>
      <x:c r="B87" s="10" t="n">
        <x:v>45690</x:v>
      </x:c>
      <x:c r="C87" t="str">
        <x:v>East</x:v>
      </x:c>
      <x:c r="D87" t="str">
        <x:v>Consumer</x:v>
      </x:c>
      <x:c r="E87" t="str">
        <x:v>Hardware</x:v>
      </x:c>
      <x:c r="F87" s="11" t="n">
        <x:v>17705</x:v>
      </x:c>
      <x:c r="G87" s="11" t="n">
        <x:v>9738</x:v>
      </x:c>
      <x:c r="H87" t="n">
        <x:v>33</x:v>
      </x:c>
    </x:row>
    <x:row r="88">
      <x:c r="A88" t="str">
        <x:v>ORD-1087</x:v>
      </x:c>
      <x:c r="B88" s="10" t="n">
        <x:v>45725</x:v>
      </x:c>
      <x:c r="C88" t="str">
        <x:v>Central</x:v>
      </x:c>
      <x:c r="D88" t="str">
        <x:v>SMB</x:v>
      </x:c>
      <x:c r="E88" t="str">
        <x:v>Services</x:v>
      </x:c>
      <x:c r="F88" s="11" t="n">
        <x:v>19578</x:v>
      </x:c>
      <x:c r="G88" s="11" t="n">
        <x:v>13313</x:v>
      </x:c>
      <x:c r="H88" t="n">
        <x:v>46</x:v>
      </x:c>
    </x:row>
    <x:row r="89">
      <x:c r="A89" t="str">
        <x:v>ORD-1088</x:v>
      </x:c>
      <x:c r="B89" s="10" t="n">
        <x:v>45763</x:v>
      </x:c>
      <x:c r="C89" t="str">
        <x:v>South</x:v>
      </x:c>
      <x:c r="D89" t="str">
        <x:v>Enterprise</x:v>
      </x:c>
      <x:c r="E89" t="str">
        <x:v>Software</x:v>
      </x:c>
      <x:c r="F89" s="11" t="n">
        <x:v>21451</x:v>
      </x:c>
      <x:c r="G89" s="11" t="n">
        <x:v>12227</x:v>
      </x:c>
      <x:c r="H89" t="n">
        <x:v>59</x:v>
      </x:c>
    </x:row>
    <x:row r="90">
      <x:c r="A90" t="str">
        <x:v>ORD-1089</x:v>
      </x:c>
      <x:c r="B90" s="10" t="n">
        <x:v>45800</x:v>
      </x:c>
      <x:c r="C90" t="str">
        <x:v>West</x:v>
      </x:c>
      <x:c r="D90" t="str">
        <x:v>Consumer</x:v>
      </x:c>
      <x:c r="E90" t="str">
        <x:v>Hardware</x:v>
      </x:c>
      <x:c r="F90" s="11" t="n">
        <x:v>23324</x:v>
      </x:c>
      <x:c r="G90" s="11" t="n">
        <x:v>16327</x:v>
      </x:c>
      <x:c r="H90" t="n">
        <x:v>72</x:v>
      </x:c>
    </x:row>
    <x:row r="91">
      <x:c r="A91" t="str">
        <x:v>ORD-1090</x:v>
      </x:c>
      <x:c r="B91" s="10" t="n">
        <x:v>45811</x:v>
      </x:c>
      <x:c r="C91" t="str">
        <x:v>East</x:v>
      </x:c>
      <x:c r="D91" t="str">
        <x:v>SMB</x:v>
      </x:c>
      <x:c r="E91" t="str">
        <x:v>Services</x:v>
      </x:c>
      <x:c r="F91" s="11" t="n">
        <x:v>6697</x:v>
      </x:c>
      <x:c r="G91" s="11" t="n">
        <x:v>3951</x:v>
      </x:c>
      <x:c r="H91" t="n">
        <x:v>13</x:v>
      </x:c>
    </x:row>
    <x:row r="92">
      <x:c r="A92" t="str">
        <x:v>ORD-1091</x:v>
      </x:c>
      <x:c r="B92" s="10" t="n">
        <x:v>45848</x:v>
      </x:c>
      <x:c r="C92" t="str">
        <x:v>Central</x:v>
      </x:c>
      <x:c r="D92" t="str">
        <x:v>Enterprise</x:v>
      </x:c>
      <x:c r="E92" t="str">
        <x:v>Software</x:v>
      </x:c>
      <x:c r="F92" s="11" t="n">
        <x:v>8570</x:v>
      </x:c>
      <x:c r="G92" s="11" t="n">
        <x:v>6170</x:v>
      </x:c>
      <x:c r="H92" t="n">
        <x:v>26</x:v>
      </x:c>
    </x:row>
    <x:row r="93">
      <x:c r="A93" t="str">
        <x:v>ORD-1092</x:v>
      </x:c>
      <x:c r="B93" s="10" t="n">
        <x:v>45886</x:v>
      </x:c>
      <x:c r="C93" t="str">
        <x:v>South</x:v>
      </x:c>
      <x:c r="D93" t="str">
        <x:v>Consumer</x:v>
      </x:c>
      <x:c r="E93" t="str">
        <x:v>Hardware</x:v>
      </x:c>
      <x:c r="F93" s="11" t="n">
        <x:v>10443</x:v>
      </x:c>
      <x:c r="G93" s="11" t="n">
        <x:v>6370</x:v>
      </x:c>
      <x:c r="H93" t="n">
        <x:v>39</x:v>
      </x:c>
    </x:row>
    <x:row r="94">
      <x:c r="A94" t="str">
        <x:v>ORD-1093</x:v>
      </x:c>
      <x:c r="B94" s="10" t="n">
        <x:v>45924</x:v>
      </x:c>
      <x:c r="C94" t="str">
        <x:v>West</x:v>
      </x:c>
      <x:c r="D94" t="str">
        <x:v>SMB</x:v>
      </x:c>
      <x:c r="E94" t="str">
        <x:v>Services</x:v>
      </x:c>
      <x:c r="F94" s="11" t="n">
        <x:v>12316</x:v>
      </x:c>
      <x:c r="G94" s="11" t="n">
        <x:v>9114</x:v>
      </x:c>
      <x:c r="H94" t="n">
        <x:v>52</x:v>
      </x:c>
    </x:row>
    <x:row r="95">
      <x:c r="A95" t="str">
        <x:v>ORD-1094</x:v>
      </x:c>
      <x:c r="B95" s="10" t="n">
        <x:v>45934</x:v>
      </x:c>
      <x:c r="C95" t="str">
        <x:v>East</x:v>
      </x:c>
      <x:c r="D95" t="str">
        <x:v>Enterprise</x:v>
      </x:c>
      <x:c r="E95" t="str">
        <x:v>Software</x:v>
      </x:c>
      <x:c r="F95" s="11" t="n">
        <x:v>14189</x:v>
      </x:c>
      <x:c r="G95" s="11" t="n">
        <x:v>8939</x:v>
      </x:c>
      <x:c r="H95" t="n">
        <x:v>65</x:v>
      </x:c>
    </x:row>
    <x:row r="96">
      <x:c r="A96" t="str">
        <x:v>ORD-1095</x:v>
      </x:c>
      <x:c r="B96" s="10" t="n">
        <x:v>45972</x:v>
      </x:c>
      <x:c r="C96" t="str">
        <x:v>Central</x:v>
      </x:c>
      <x:c r="D96" t="str">
        <x:v>Consumer</x:v>
      </x:c>
      <x:c r="E96" t="str">
        <x:v>Hardware</x:v>
      </x:c>
      <x:c r="F96" s="11" t="n">
        <x:v>16062</x:v>
      </x:c>
      <x:c r="G96" s="11" t="n">
        <x:v>12207</x:v>
      </x:c>
      <x:c r="H96" t="n">
        <x:v>78</x:v>
      </x:c>
    </x:row>
    <x:row r="97">
      <x:c r="A97" t="str">
        <x:v>ORD-1096</x:v>
      </x:c>
      <x:c r="B97" s="10" t="n">
        <x:v>46009</x:v>
      </x:c>
      <x:c r="C97" t="str">
        <x:v>South</x:v>
      </x:c>
      <x:c r="D97" t="str">
        <x:v>SMB</x:v>
      </x:c>
      <x:c r="E97" t="str">
        <x:v>Services</x:v>
      </x:c>
      <x:c r="F97" s="11" t="n">
        <x:v>17935</x:v>
      </x:c>
      <x:c r="G97" s="11" t="n">
        <x:v>11658</x:v>
      </x:c>
      <x:c r="H97" t="n">
        <x:v>19</x:v>
      </x:c>
    </x:row>
    <x:row r="98">
      <x:c r="A98" t="str">
        <x:v>ORD-1097</x:v>
      </x:c>
      <x:c r="B98" s="10" t="n">
        <x:v>45682</x:v>
      </x:c>
      <x:c r="C98" t="str">
        <x:v>West</x:v>
      </x:c>
      <x:c r="D98" t="str">
        <x:v>Enterprise</x:v>
      </x:c>
      <x:c r="E98" t="str">
        <x:v>Software</x:v>
      </x:c>
      <x:c r="F98" s="11" t="n">
        <x:v>19808</x:v>
      </x:c>
      <x:c r="G98" s="11" t="n">
        <x:v>15450</x:v>
      </x:c>
      <x:c r="H98" t="n">
        <x:v>32</x:v>
      </x:c>
    </x:row>
    <x:row r="99">
      <x:c r="A99" t="str">
        <x:v>ORD-1098</x:v>
      </x:c>
      <x:c r="B99" s="10" t="n">
        <x:v>45693</x:v>
      </x:c>
      <x:c r="C99" t="str">
        <x:v>East</x:v>
      </x:c>
      <x:c r="D99" t="str">
        <x:v>Consumer</x:v>
      </x:c>
      <x:c r="E99" t="str">
        <x:v>Hardware</x:v>
      </x:c>
      <x:c r="F99" s="11" t="n">
        <x:v>21681</x:v>
      </x:c>
      <x:c r="G99" s="11" t="n">
        <x:v>14526</x:v>
      </x:c>
      <x:c r="H99" t="n">
        <x:v>45</x:v>
      </x:c>
    </x:row>
    <x:row r="100">
      <x:c r="A100" t="str">
        <x:v>ORD-1099</x:v>
      </x:c>
      <x:c r="B100" s="10" t="n">
        <x:v>45728</x:v>
      </x:c>
      <x:c r="C100" t="str">
        <x:v>Central</x:v>
      </x:c>
      <x:c r="D100" t="str">
        <x:v>SMB</x:v>
      </x:c>
      <x:c r="E100" t="str">
        <x:v>Services</x:v>
      </x:c>
      <x:c r="F100" s="11" t="n">
        <x:v>23554</x:v>
      </x:c>
      <x:c r="G100" s="11" t="n">
        <x:v>13190</x:v>
      </x:c>
      <x:c r="H100" t="n">
        <x:v>58</x:v>
      </x:c>
    </x:row>
    <x:row r="101">
      <x:c r="A101" t="str">
        <x:v>ORD-1100</x:v>
      </x:c>
      <x:c r="B101" s="10" t="n">
        <x:v>45766</x:v>
      </x:c>
      <x:c r="C101" t="str">
        <x:v>South</x:v>
      </x:c>
      <x:c r="D101" t="str">
        <x:v>Enterprise</x:v>
      </x:c>
      <x:c r="E101" t="str">
        <x:v>Software</x:v>
      </x:c>
      <x:c r="F101" s="11" t="n">
        <x:v>6927</x:v>
      </x:c>
      <x:c r="G101" s="11" t="n">
        <x:v>4780</x:v>
      </x:c>
      <x:c r="H101" t="n">
        <x:v>71</x:v>
      </x:c>
    </x:row>
    <x:row r="102">
      <x:c r="A102" t="str">
        <x:v>ORD-1101</x:v>
      </x:c>
      <x:c r="B102" s="10" t="n">
        <x:v>45803</x:v>
      </x:c>
      <x:c r="C102" t="str">
        <x:v>West</x:v>
      </x:c>
      <x:c r="D102" t="str">
        <x:v>Consumer</x:v>
      </x:c>
      <x:c r="E102" t="str">
        <x:v>Hardware</x:v>
      </x:c>
      <x:c r="F102" s="11" t="n">
        <x:v>8800</x:v>
      </x:c>
      <x:c r="G102" s="11" t="n">
        <x:v>5104</x:v>
      </x:c>
      <x:c r="H102" t="n">
        <x:v>12</x:v>
      </x:c>
    </x:row>
    <x:row r="103">
      <x:c r="A103" t="str">
        <x:v>ORD-1102</x:v>
      </x:c>
      <x:c r="B103" s="10" t="n">
        <x:v>45814</x:v>
      </x:c>
      <x:c r="C103" t="str">
        <x:v>East</x:v>
      </x:c>
      <x:c r="D103" t="str">
        <x:v>SMB</x:v>
      </x:c>
      <x:c r="E103" t="str">
        <x:v>Services</x:v>
      </x:c>
      <x:c r="F103" s="11" t="n">
        <x:v>10673</x:v>
      </x:c>
      <x:c r="G103" s="11" t="n">
        <x:v>7578</x:v>
      </x:c>
      <x:c r="H103" t="n">
        <x:v>25</x:v>
      </x:c>
    </x:row>
    <x:row r="104">
      <x:c r="A104" t="str">
        <x:v>ORD-1103</x:v>
      </x:c>
      <x:c r="B104" s="10" t="n">
        <x:v>45851</x:v>
      </x:c>
      <x:c r="C104" t="str">
        <x:v>Central</x:v>
      </x:c>
      <x:c r="D104" t="str">
        <x:v>Enterprise</x:v>
      </x:c>
      <x:c r="E104" t="str">
        <x:v>Software</x:v>
      </x:c>
      <x:c r="F104" s="11" t="n">
        <x:v>12546</x:v>
      </x:c>
      <x:c r="G104" s="11" t="n">
        <x:v>7528</x:v>
      </x:c>
      <x:c r="H104" t="n">
        <x:v>38</x:v>
      </x:c>
    </x:row>
    <x:row r="105">
      <x:c r="A105" t="str">
        <x:v>ORD-1104</x:v>
      </x:c>
      <x:c r="B105" s="10" t="n">
        <x:v>45889</x:v>
      </x:c>
      <x:c r="C105" t="str">
        <x:v>South</x:v>
      </x:c>
      <x:c r="D105" t="str">
        <x:v>Consumer</x:v>
      </x:c>
      <x:c r="E105" t="str">
        <x:v>Hardware</x:v>
      </x:c>
      <x:c r="F105" s="11" t="n">
        <x:v>14419</x:v>
      </x:c>
      <x:c r="G105" s="11" t="n">
        <x:v>10526</x:v>
      </x:c>
      <x:c r="H105" t="n">
        <x:v>51</x:v>
      </x:c>
    </x:row>
    <x:row r="106">
      <x:c r="A106" t="str">
        <x:v>ORD-1105</x:v>
      </x:c>
      <x:c r="B106" s="10" t="n">
        <x:v>45927</x:v>
      </x:c>
      <x:c r="C106" t="str">
        <x:v>West</x:v>
      </x:c>
      <x:c r="D106" t="str">
        <x:v>SMB</x:v>
      </x:c>
      <x:c r="E106" t="str">
        <x:v>Services</x:v>
      </x:c>
      <x:c r="F106" s="11" t="n">
        <x:v>16292</x:v>
      </x:c>
      <x:c r="G106" s="11" t="n">
        <x:v>10101</x:v>
      </x:c>
      <x:c r="H106" t="n">
        <x:v>64</x:v>
      </x:c>
    </x:row>
    <x:row r="107">
      <x:c r="A107" t="str">
        <x:v>ORD-1106</x:v>
      </x:c>
      <x:c r="B107" s="10" t="n">
        <x:v>45937</x:v>
      </x:c>
      <x:c r="C107" t="str">
        <x:v>East</x:v>
      </x:c>
      <x:c r="D107" t="str">
        <x:v>Enterprise</x:v>
      </x:c>
      <x:c r="E107" t="str">
        <x:v>Software</x:v>
      </x:c>
      <x:c r="F107" s="11" t="n">
        <x:v>18165</x:v>
      </x:c>
      <x:c r="G107" s="11" t="n">
        <x:v>13624</x:v>
      </x:c>
      <x:c r="H107" t="n">
        <x:v>77</x:v>
      </x:c>
    </x:row>
    <x:row r="108">
      <x:c r="A108" t="str">
        <x:v>ORD-1107</x:v>
      </x:c>
      <x:c r="B108" s="10" t="n">
        <x:v>45975</x:v>
      </x:c>
      <x:c r="C108" t="str">
        <x:v>Central</x:v>
      </x:c>
      <x:c r="D108" t="str">
        <x:v>Consumer</x:v>
      </x:c>
      <x:c r="E108" t="str">
        <x:v>Hardware</x:v>
      </x:c>
      <x:c r="F108" s="11" t="n">
        <x:v>20038</x:v>
      </x:c>
      <x:c r="G108" s="11" t="n">
        <x:v>12824</x:v>
      </x:c>
      <x:c r="H108" t="n">
        <x:v>18</x:v>
      </x:c>
    </x:row>
    <x:row r="109">
      <x:c r="A109" t="str">
        <x:v>ORD-1108</x:v>
      </x:c>
      <x:c r="B109" s="10" t="n">
        <x:v>46012</x:v>
      </x:c>
      <x:c r="C109" t="str">
        <x:v>South</x:v>
      </x:c>
      <x:c r="D109" t="str">
        <x:v>SMB</x:v>
      </x:c>
      <x:c r="E109" t="str">
        <x:v>Services</x:v>
      </x:c>
      <x:c r="F109" s="11" t="n">
        <x:v>21911</x:v>
      </x:c>
      <x:c r="G109" s="11" t="n">
        <x:v>16871</x:v>
      </x:c>
      <x:c r="H109" t="n">
        <x:v>31</x:v>
      </x:c>
    </x:row>
    <x:row r="110">
      <x:c r="A110" t="str">
        <x:v>ORD-1109</x:v>
      </x:c>
      <x:c r="B110" s="10" t="n">
        <x:v>45658</x:v>
      </x:c>
      <x:c r="C110" t="str">
        <x:v>West</x:v>
      </x:c>
      <x:c r="D110" t="str">
        <x:v>Enterprise</x:v>
      </x:c>
      <x:c r="E110" t="str">
        <x:v>Software</x:v>
      </x:c>
      <x:c r="F110" s="11" t="n">
        <x:v>23784</x:v>
      </x:c>
      <x:c r="G110" s="11" t="n">
        <x:v>15697</x:v>
      </x:c>
      <x:c r="H110" t="n">
        <x:v>44</x:v>
      </x:c>
    </x:row>
    <x:row r="111">
      <x:c r="A111" t="str">
        <x:v>ORD-1110</x:v>
      </x:c>
      <x:c r="B111" s="10" t="n">
        <x:v>45696</x:v>
      </x:c>
      <x:c r="C111" t="str">
        <x:v>East</x:v>
      </x:c>
      <x:c r="D111" t="str">
        <x:v>Consumer</x:v>
      </x:c>
      <x:c r="E111" t="str">
        <x:v>Hardware</x:v>
      </x:c>
      <x:c r="F111" s="11" t="n">
        <x:v>7157</x:v>
      </x:c>
      <x:c r="G111" s="11" t="n">
        <x:v>3936</x:v>
      </x:c>
      <x:c r="H111" t="n">
        <x:v>57</x:v>
      </x:c>
    </x:row>
    <x:row r="112">
      <x:c r="A112" t="str">
        <x:v>ORD-1111</x:v>
      </x:c>
      <x:c r="B112" s="10" t="n">
        <x:v>45731</x:v>
      </x:c>
      <x:c r="C112" t="str">
        <x:v>Central</x:v>
      </x:c>
      <x:c r="D112" t="str">
        <x:v>SMB</x:v>
      </x:c>
      <x:c r="E112" t="str">
        <x:v>Services</x:v>
      </x:c>
      <x:c r="F112" s="11" t="n">
        <x:v>9030</x:v>
      </x:c>
      <x:c r="G112" s="11" t="n">
        <x:v>6140</x:v>
      </x:c>
      <x:c r="H112" t="n">
        <x:v>70</x:v>
      </x:c>
    </x:row>
    <x:row r="113">
      <x:c r="A113" t="str">
        <x:v>ORD-1112</x:v>
      </x:c>
      <x:c r="B113" s="10" t="n">
        <x:v>45769</x:v>
      </x:c>
      <x:c r="C113" t="str">
        <x:v>South</x:v>
      </x:c>
      <x:c r="D113" t="str">
        <x:v>Enterprise</x:v>
      </x:c>
      <x:c r="E113" t="str">
        <x:v>Software</x:v>
      </x:c>
      <x:c r="F113" s="11" t="n">
        <x:v>10903</x:v>
      </x:c>
      <x:c r="G113" s="11" t="n">
        <x:v>6215</x:v>
      </x:c>
      <x:c r="H113" t="n">
        <x:v>11</x:v>
      </x:c>
    </x:row>
    <x:row r="114">
      <x:c r="A114" t="str">
        <x:v>ORD-1113</x:v>
      </x:c>
      <x:c r="B114" s="10" t="n">
        <x:v>45779</x:v>
      </x:c>
      <x:c r="C114" t="str">
        <x:v>West</x:v>
      </x:c>
      <x:c r="D114" t="str">
        <x:v>Consumer</x:v>
      </x:c>
      <x:c r="E114" t="str">
        <x:v>Hardware</x:v>
      </x:c>
      <x:c r="F114" s="11" t="n">
        <x:v>12776</x:v>
      </x:c>
      <x:c r="G114" s="11" t="n">
        <x:v>8943</x:v>
      </x:c>
      <x:c r="H114" t="n">
        <x:v>24</x:v>
      </x:c>
    </x:row>
    <x:row r="115">
      <x:c r="A115" t="str">
        <x:v>ORD-1114</x:v>
      </x:c>
      <x:c r="B115" s="10" t="n">
        <x:v>45817</x:v>
      </x:c>
      <x:c r="C115" t="str">
        <x:v>East</x:v>
      </x:c>
      <x:c r="D115" t="str">
        <x:v>SMB</x:v>
      </x:c>
      <x:c r="E115" t="str">
        <x:v>Services</x:v>
      </x:c>
      <x:c r="F115" s="11" t="n">
        <x:v>14649</x:v>
      </x:c>
      <x:c r="G115" s="11" t="n">
        <x:v>8643</x:v>
      </x:c>
      <x:c r="H115" t="n">
        <x:v>37</x:v>
      </x:c>
    </x:row>
    <x:row r="116">
      <x:c r="A116" t="str">
        <x:v>ORD-1115</x:v>
      </x:c>
      <x:c r="B116" s="10" t="n">
        <x:v>45854</x:v>
      </x:c>
      <x:c r="C116" t="str">
        <x:v>Central</x:v>
      </x:c>
      <x:c r="D116" t="str">
        <x:v>Enterprise</x:v>
      </x:c>
      <x:c r="E116" t="str">
        <x:v>Software</x:v>
      </x:c>
      <x:c r="F116" s="11" t="n">
        <x:v>16522</x:v>
      </x:c>
      <x:c r="G116" s="11" t="n">
        <x:v>11896</x:v>
      </x:c>
      <x:c r="H116" t="n">
        <x:v>50</x:v>
      </x:c>
    </x:row>
    <x:row r="117">
      <x:c r="A117" t="str">
        <x:v>ORD-1116</x:v>
      </x:c>
      <x:c r="B117" s="10" t="n">
        <x:v>45892</x:v>
      </x:c>
      <x:c r="C117" t="str">
        <x:v>South</x:v>
      </x:c>
      <x:c r="D117" t="str">
        <x:v>Consumer</x:v>
      </x:c>
      <x:c r="E117" t="str">
        <x:v>Hardware</x:v>
      </x:c>
      <x:c r="F117" s="11" t="n">
        <x:v>18395</x:v>
      </x:c>
      <x:c r="G117" s="11" t="n">
        <x:v>11221</x:v>
      </x:c>
      <x:c r="H117" t="n">
        <x:v>63</x:v>
      </x:c>
    </x:row>
    <x:row r="118">
      <x:c r="A118" t="str">
        <x:v>ORD-1117</x:v>
      </x:c>
      <x:c r="B118" s="10" t="n">
        <x:v>45903</x:v>
      </x:c>
      <x:c r="C118" t="str">
        <x:v>West</x:v>
      </x:c>
      <x:c r="D118" t="str">
        <x:v>SMB</x:v>
      </x:c>
      <x:c r="E118" t="str">
        <x:v>Services</x:v>
      </x:c>
      <x:c r="F118" s="11" t="n">
        <x:v>20268</x:v>
      </x:c>
      <x:c r="G118" s="11" t="n">
        <x:v>14998</x:v>
      </x:c>
      <x:c r="H118" t="n">
        <x:v>76</x:v>
      </x:c>
    </x:row>
    <x:row r="119">
      <x:c r="A119" t="str">
        <x:v>ORD-1118</x:v>
      </x:c>
      <x:c r="B119" s="10" t="n">
        <x:v>45940</x:v>
      </x:c>
      <x:c r="C119" t="str">
        <x:v>East</x:v>
      </x:c>
      <x:c r="D119" t="str">
        <x:v>Enterprise</x:v>
      </x:c>
      <x:c r="E119" t="str">
        <x:v>Software</x:v>
      </x:c>
      <x:c r="F119" s="11" t="n">
        <x:v>22141</x:v>
      </x:c>
      <x:c r="G119" s="11" t="n">
        <x:v>13949</x:v>
      </x:c>
      <x:c r="H119" t="n">
        <x:v>17</x:v>
      </x:c>
    </x:row>
    <x:row r="120">
      <x:c r="A120" t="str">
        <x:v>ORD-1119</x:v>
      </x:c>
      <x:c r="B120" s="10" t="n">
        <x:v>45978</x:v>
      </x:c>
      <x:c r="C120" t="str">
        <x:v>Central</x:v>
      </x:c>
      <x:c r="D120" t="str">
        <x:v>Consumer</x:v>
      </x:c>
      <x:c r="E120" t="str">
        <x:v>Hardware</x:v>
      </x:c>
      <x:c r="F120" s="11" t="n">
        <x:v>24014</x:v>
      </x:c>
      <x:c r="G120" s="11" t="n">
        <x:v>18251</x:v>
      </x:c>
      <x:c r="H120" t="n">
        <x:v>30</x:v>
      </x:c>
    </x:row>
    <x:row r="121">
      <x:c r="A121" t="str">
        <x:v>ORD-1120</x:v>
      </x:c>
      <x:c r="B121" s="10" t="n">
        <x:v>46015</x:v>
      </x:c>
      <x:c r="C121" t="str">
        <x:v>South</x:v>
      </x:c>
      <x:c r="D121" t="str">
        <x:v>SMB</x:v>
      </x:c>
      <x:c r="E121" t="str">
        <x:v>Services</x:v>
      </x:c>
      <x:c r="F121" s="11" t="n">
        <x:v>7387</x:v>
      </x:c>
      <x:c r="G121" s="11" t="n">
        <x:v>4802</x:v>
      </x:c>
      <x:c r="H121" t="n">
        <x:v>43</x:v>
      </x:c>
    </x:row>
    <x:row r="122">
      <x:c r="A122" t="str">
        <x:v>ORD-1121</x:v>
      </x:c>
      <x:c r="B122" s="10" t="n">
        <x:v>45661</x:v>
      </x:c>
      <x:c r="C122" t="str">
        <x:v>West</x:v>
      </x:c>
      <x:c r="D122" t="str">
        <x:v>Enterprise</x:v>
      </x:c>
      <x:c r="E122" t="str">
        <x:v>Software</x:v>
      </x:c>
      <x:c r="F122" s="11" t="n">
        <x:v>9260</x:v>
      </x:c>
      <x:c r="G122" s="11" t="n">
        <x:v>7223</x:v>
      </x:c>
      <x:c r="H122" t="n">
        <x:v>56</x:v>
      </x:c>
    </x:row>
    <x:row r="123">
      <x:c r="A123" t="str">
        <x:v>ORD-1122</x:v>
      </x:c>
      <x:c r="B123" s="10" t="n">
        <x:v>45699</x:v>
      </x:c>
      <x:c r="C123" t="str">
        <x:v>East</x:v>
      </x:c>
      <x:c r="D123" t="str">
        <x:v>Consumer</x:v>
      </x:c>
      <x:c r="E123" t="str">
        <x:v>Hardware</x:v>
      </x:c>
      <x:c r="F123" s="11" t="n">
        <x:v>11133</x:v>
      </x:c>
      <x:c r="G123" s="11" t="n">
        <x:v>7459</x:v>
      </x:c>
      <x:c r="H123" t="n">
        <x:v>69</x:v>
      </x:c>
    </x:row>
    <x:row r="124">
      <x:c r="A124" t="str">
        <x:v>ORD-1123</x:v>
      </x:c>
      <x:c r="B124" s="10" t="n">
        <x:v>45734</x:v>
      </x:c>
      <x:c r="C124" t="str">
        <x:v>Central</x:v>
      </x:c>
      <x:c r="D124" t="str">
        <x:v>SMB</x:v>
      </x:c>
      <x:c r="E124" t="str">
        <x:v>Services</x:v>
      </x:c>
      <x:c r="F124" s="11" t="n">
        <x:v>13006</x:v>
      </x:c>
      <x:c r="G124" s="11" t="n">
        <x:v>7283</x:v>
      </x:c>
      <x:c r="H124" t="n">
        <x:v>10</x:v>
      </x:c>
    </x:row>
    <x:row r="125">
      <x:c r="A125" t="str">
        <x:v>ORD-1124</x:v>
      </x:c>
      <x:c r="B125" s="10" t="n">
        <x:v>45772</x:v>
      </x:c>
      <x:c r="C125" t="str">
        <x:v>South</x:v>
      </x:c>
      <x:c r="D125" t="str">
        <x:v>Enterprise</x:v>
      </x:c>
      <x:c r="E125" t="str">
        <x:v>Software</x:v>
      </x:c>
      <x:c r="F125" s="11" t="n">
        <x:v>14879</x:v>
      </x:c>
      <x:c r="G125" s="11" t="n">
        <x:v>10267</x:v>
      </x:c>
      <x:c r="H125" t="n">
        <x:v>23</x:v>
      </x:c>
    </x:row>
    <x:row r="126">
      <x:c r="A126" t="str">
        <x:v>ORD-1125</x:v>
      </x:c>
      <x:c r="B126" s="10" t="n">
        <x:v>45782</x:v>
      </x:c>
      <x:c r="C126" t="str">
        <x:v>West</x:v>
      </x:c>
      <x:c r="D126" t="str">
        <x:v>Consumer</x:v>
      </x:c>
      <x:c r="E126" t="str">
        <x:v>Hardware</x:v>
      </x:c>
      <x:c r="F126" s="11" t="n">
        <x:v>16752</x:v>
      </x:c>
      <x:c r="G126" s="11" t="n">
        <x:v>9716</x:v>
      </x:c>
      <x:c r="H126" t="n">
        <x:v>36</x:v>
      </x:c>
    </x:row>
    <x:row r="127">
      <x:c r="A127" t="str">
        <x:v>ORD-1126</x:v>
      </x:c>
      <x:c r="B127" s="10" t="n">
        <x:v>45820</x:v>
      </x:c>
      <x:c r="C127" t="str">
        <x:v>East</x:v>
      </x:c>
      <x:c r="D127" t="str">
        <x:v>SMB</x:v>
      </x:c>
      <x:c r="E127" t="str">
        <x:v>Services</x:v>
      </x:c>
      <x:c r="F127" s="11" t="n">
        <x:v>18625</x:v>
      </x:c>
      <x:c r="G127" s="11" t="n">
        <x:v>13224</x:v>
      </x:c>
      <x:c r="H127" t="n">
        <x:v>49</x:v>
      </x:c>
    </x:row>
    <x:row r="128">
      <x:c r="A128" t="str">
        <x:v>ORD-1127</x:v>
      </x:c>
      <x:c r="B128" s="10" t="n">
        <x:v>45857</x:v>
      </x:c>
      <x:c r="C128" t="str">
        <x:v>Central</x:v>
      </x:c>
      <x:c r="D128" t="str">
        <x:v>Enterprise</x:v>
      </x:c>
      <x:c r="E128" t="str">
        <x:v>Software</x:v>
      </x:c>
      <x:c r="F128" s="11" t="n">
        <x:v>20498</x:v>
      </x:c>
      <x:c r="G128" s="11" t="n">
        <x:v>12299</x:v>
      </x:c>
      <x:c r="H128" t="n">
        <x:v>62</x:v>
      </x:c>
    </x:row>
    <x:row r="129">
      <x:c r="A129" t="str">
        <x:v>ORD-1128</x:v>
      </x:c>
      <x:c r="B129" s="10" t="n">
        <x:v>45895</x:v>
      </x:c>
      <x:c r="C129" t="str">
        <x:v>South</x:v>
      </x:c>
      <x:c r="D129" t="str">
        <x:v>Consumer</x:v>
      </x:c>
      <x:c r="E129" t="str">
        <x:v>Hardware</x:v>
      </x:c>
      <x:c r="F129" s="11" t="n">
        <x:v>22371</x:v>
      </x:c>
      <x:c r="G129" s="11" t="n">
        <x:v>16331</x:v>
      </x:c>
      <x:c r="H129" t="n">
        <x:v>75</x:v>
      </x:c>
    </x:row>
    <x:row r="130">
      <x:c r="A130" t="str">
        <x:v>ORD-1129</x:v>
      </x:c>
      <x:c r="B130" s="10" t="n">
        <x:v>45906</x:v>
      </x:c>
      <x:c r="C130" t="str">
        <x:v>West</x:v>
      </x:c>
      <x:c r="D130" t="str">
        <x:v>SMB</x:v>
      </x:c>
      <x:c r="E130" t="str">
        <x:v>Services</x:v>
      </x:c>
      <x:c r="F130" s="11" t="n">
        <x:v>24244</x:v>
      </x:c>
      <x:c r="G130" s="11" t="n">
        <x:v>15031</x:v>
      </x:c>
      <x:c r="H130" t="n">
        <x:v>16</x:v>
      </x:c>
    </x:row>
    <x:row r="131">
      <x:c r="A131" t="str">
        <x:v>ORD-1130</x:v>
      </x:c>
      <x:c r="B131" s="10" t="n">
        <x:v>45943</x:v>
      </x:c>
      <x:c r="C131" t="str">
        <x:v>East</x:v>
      </x:c>
      <x:c r="D131" t="str">
        <x:v>Enterprise</x:v>
      </x:c>
      <x:c r="E131" t="str">
        <x:v>Software</x:v>
      </x:c>
      <x:c r="F131" s="11" t="n">
        <x:v>7617</x:v>
      </x:c>
      <x:c r="G131" s="11" t="n">
        <x:v>5713</x:v>
      </x:c>
      <x:c r="H131" t="n">
        <x:v>29</x:v>
      </x:c>
    </x:row>
    <x:row r="132">
      <x:c r="A132" t="str">
        <x:v>ORD-1131</x:v>
      </x:c>
      <x:c r="B132" s="10" t="n">
        <x:v>45981</x:v>
      </x:c>
      <x:c r="C132" t="str">
        <x:v>Central</x:v>
      </x:c>
      <x:c r="D132" t="str">
        <x:v>Consumer</x:v>
      </x:c>
      <x:c r="E132" t="str">
        <x:v>Hardware</x:v>
      </x:c>
      <x:c r="F132" s="11" t="n">
        <x:v>9490</x:v>
      </x:c>
      <x:c r="G132" s="11" t="n">
        <x:v>6074</x:v>
      </x:c>
      <x:c r="H132" t="n">
        <x:v>42</x:v>
      </x:c>
    </x:row>
    <x:row r="133">
      <x:c r="A133" t="str">
        <x:v>ORD-1132</x:v>
      </x:c>
      <x:c r="B133" s="10" t="n">
        <x:v>46018</x:v>
      </x:c>
      <x:c r="C133" t="str">
        <x:v>South</x:v>
      </x:c>
      <x:c r="D133" t="str">
        <x:v>SMB</x:v>
      </x:c>
      <x:c r="E133" t="str">
        <x:v>Services</x:v>
      </x:c>
      <x:c r="F133" s="11" t="n">
        <x:v>11363</x:v>
      </x:c>
      <x:c r="G133" s="11" t="n">
        <x:v>8750</x:v>
      </x:c>
      <x:c r="H133" t="n">
        <x:v>55</x:v>
      </x:c>
    </x:row>
    <x:row r="134">
      <x:c r="A134" t="str">
        <x:v>ORD-1133</x:v>
      </x:c>
      <x:c r="B134" s="10" t="n">
        <x:v>45664</x:v>
      </x:c>
      <x:c r="C134" t="str">
        <x:v>West</x:v>
      </x:c>
      <x:c r="D134" t="str">
        <x:v>Enterprise</x:v>
      </x:c>
      <x:c r="E134" t="str">
        <x:v>Software</x:v>
      </x:c>
      <x:c r="F134" s="11" t="n">
        <x:v>13236</x:v>
      </x:c>
      <x:c r="G134" s="11" t="n">
        <x:v>8736</x:v>
      </x:c>
      <x:c r="H134" t="n">
        <x:v>68</x:v>
      </x:c>
    </x:row>
    <x:row r="135">
      <x:c r="A135" t="str">
        <x:v>ORD-1134</x:v>
      </x:c>
      <x:c r="B135" s="10" t="n">
        <x:v>45702</x:v>
      </x:c>
      <x:c r="C135" t="str">
        <x:v>East</x:v>
      </x:c>
      <x:c r="D135" t="str">
        <x:v>Consumer</x:v>
      </x:c>
      <x:c r="E135" t="str">
        <x:v>Hardware</x:v>
      </x:c>
      <x:c r="F135" s="11" t="n">
        <x:v>15109</x:v>
      </x:c>
      <x:c r="G135" s="11" t="n">
        <x:v>8310</x:v>
      </x:c>
      <x:c r="H135" t="n">
        <x:v>9</x:v>
      </x:c>
    </x:row>
    <x:row r="136">
      <x:c r="A136" t="str">
        <x:v>ORD-1135</x:v>
      </x:c>
      <x:c r="B136" s="10" t="n">
        <x:v>45737</x:v>
      </x:c>
      <x:c r="C136" t="str">
        <x:v>Central</x:v>
      </x:c>
      <x:c r="D136" t="str">
        <x:v>SMB</x:v>
      </x:c>
      <x:c r="E136" t="str">
        <x:v>Services</x:v>
      </x:c>
      <x:c r="F136" s="11" t="n">
        <x:v>16982</x:v>
      </x:c>
      <x:c r="G136" s="11" t="n">
        <x:v>11548</x:v>
      </x:c>
      <x:c r="H136" t="n">
        <x:v>22</x:v>
      </x:c>
    </x:row>
    <x:row r="137">
      <x:c r="A137" t="str">
        <x:v>ORD-1136</x:v>
      </x:c>
      <x:c r="B137" s="10" t="n">
        <x:v>45748</x:v>
      </x:c>
      <x:c r="C137" t="str">
        <x:v>South</x:v>
      </x:c>
      <x:c r="D137" t="str">
        <x:v>Enterprise</x:v>
      </x:c>
      <x:c r="E137" t="str">
        <x:v>Software</x:v>
      </x:c>
      <x:c r="F137" s="11" t="n">
        <x:v>18855</x:v>
      </x:c>
      <x:c r="G137" s="11" t="n">
        <x:v>10747</x:v>
      </x:c>
      <x:c r="H137" t="n">
        <x:v>35</x:v>
      </x:c>
    </x:row>
    <x:row r="138">
      <x:c r="A138" t="str">
        <x:v>ORD-1137</x:v>
      </x:c>
      <x:c r="B138" s="10" t="n">
        <x:v>45785</x:v>
      </x:c>
      <x:c r="C138" t="str">
        <x:v>West</x:v>
      </x:c>
      <x:c r="D138" t="str">
        <x:v>Consumer</x:v>
      </x:c>
      <x:c r="E138" t="str">
        <x:v>Hardware</x:v>
      </x:c>
      <x:c r="F138" s="11" t="n">
        <x:v>20728</x:v>
      </x:c>
      <x:c r="G138" s="11" t="n">
        <x:v>14510</x:v>
      </x:c>
      <x:c r="H138" t="n">
        <x:v>48</x:v>
      </x:c>
    </x:row>
    <x:row r="139">
      <x:c r="A139" t="str">
        <x:v>ORD-1138</x:v>
      </x:c>
      <x:c r="B139" s="10" t="n">
        <x:v>45823</x:v>
      </x:c>
      <x:c r="C139" t="str">
        <x:v>East</x:v>
      </x:c>
      <x:c r="D139" t="str">
        <x:v>SMB</x:v>
      </x:c>
      <x:c r="E139" t="str">
        <x:v>Services</x:v>
      </x:c>
      <x:c r="F139" s="11" t="n">
        <x:v>22601</x:v>
      </x:c>
      <x:c r="G139" s="11" t="n">
        <x:v>13335</x:v>
      </x:c>
      <x:c r="H139" t="n">
        <x:v>61</x:v>
      </x:c>
    </x:row>
    <x:row r="140">
      <x:c r="A140" t="str">
        <x:v>ORD-1139</x:v>
      </x:c>
      <x:c r="B140" s="10" t="n">
        <x:v>45860</x:v>
      </x:c>
      <x:c r="C140" t="str">
        <x:v>Central</x:v>
      </x:c>
      <x:c r="D140" t="str">
        <x:v>Enterprise</x:v>
      </x:c>
      <x:c r="E140" t="str">
        <x:v>Software</x:v>
      </x:c>
      <x:c r="F140" s="11" t="n">
        <x:v>24474</x:v>
      </x:c>
      <x:c r="G140" s="11" t="n">
        <x:v>17621</x:v>
      </x:c>
      <x:c r="H140" t="n">
        <x:v>74</x:v>
      </x:c>
    </x:row>
    <x:row r="141">
      <x:c r="A141" t="str">
        <x:v>ORD-1140</x:v>
      </x:c>
      <x:c r="B141" s="10" t="n">
        <x:v>45871</x:v>
      </x:c>
      <x:c r="C141" t="str">
        <x:v>South</x:v>
      </x:c>
      <x:c r="D141" t="str">
        <x:v>Consumer</x:v>
      </x:c>
      <x:c r="E141" t="str">
        <x:v>Hardware</x:v>
      </x:c>
      <x:c r="F141" s="11" t="n">
        <x:v>7847</x:v>
      </x:c>
      <x:c r="G141" s="11" t="n">
        <x:v>4787</x:v>
      </x:c>
      <x:c r="H141" t="n">
        <x:v>15</x:v>
      </x:c>
    </x:row>
    <x:row r="142">
      <x:c r="A142" t="str">
        <x:v>ORD-1141</x:v>
      </x:c>
      <x:c r="B142" s="10" t="n">
        <x:v>45909</x:v>
      </x:c>
      <x:c r="C142" t="str">
        <x:v>West</x:v>
      </x:c>
      <x:c r="D142" t="str">
        <x:v>SMB</x:v>
      </x:c>
      <x:c r="E142" t="str">
        <x:v>Services</x:v>
      </x:c>
      <x:c r="F142" s="11" t="n">
        <x:v>9720</x:v>
      </x:c>
      <x:c r="G142" s="11" t="n">
        <x:v>7193</x:v>
      </x:c>
      <x:c r="H142" t="n">
        <x:v>28</x:v>
      </x:c>
    </x:row>
    <x:row r="143">
      <x:c r="A143" t="str">
        <x:v>ORD-1142</x:v>
      </x:c>
      <x:c r="B143" s="10" t="n">
        <x:v>45946</x:v>
      </x:c>
      <x:c r="C143" t="str">
        <x:v>East</x:v>
      </x:c>
      <x:c r="D143" t="str">
        <x:v>Enterprise</x:v>
      </x:c>
      <x:c r="E143" t="str">
        <x:v>Software</x:v>
      </x:c>
      <x:c r="F143" s="11" t="n">
        <x:v>11593</x:v>
      </x:c>
      <x:c r="G143" s="11" t="n">
        <x:v>7304</x:v>
      </x:c>
      <x:c r="H143" t="n">
        <x:v>41</x:v>
      </x:c>
    </x:row>
    <x:row r="144">
      <x:c r="A144" t="str">
        <x:v>ORD-1143</x:v>
      </x:c>
      <x:c r="B144" s="10" t="n">
        <x:v>45984</x:v>
      </x:c>
      <x:c r="C144" t="str">
        <x:v>Central</x:v>
      </x:c>
      <x:c r="D144" t="str">
        <x:v>Consumer</x:v>
      </x:c>
      <x:c r="E144" t="str">
        <x:v>Hardware</x:v>
      </x:c>
      <x:c r="F144" s="11" t="n">
        <x:v>13466</x:v>
      </x:c>
      <x:c r="G144" s="11" t="n">
        <x:v>10234</x:v>
      </x:c>
      <x:c r="H144" t="n">
        <x:v>54</x:v>
      </x:c>
    </x:row>
    <x:row r="145">
      <x:c r="A145" t="str">
        <x:v>ORD-1144</x:v>
      </x:c>
      <x:c r="B145" s="10" t="n">
        <x:v>45994</x:v>
      </x:c>
      <x:c r="C145" t="str">
        <x:v>South</x:v>
      </x:c>
      <x:c r="D145" t="str">
        <x:v>SMB</x:v>
      </x:c>
      <x:c r="E145" t="str">
        <x:v>Services</x:v>
      </x:c>
      <x:c r="F145" s="11" t="n">
        <x:v>15339</x:v>
      </x:c>
      <x:c r="G145" s="11" t="n">
        <x:v>9970</x:v>
      </x:c>
      <x:c r="H145" t="n">
        <x:v>67</x:v>
      </x:c>
    </x:row>
  </x:sheetData>
  <x:pageMargins left="0.7" right="0.7" top="0.75" bottom="0.75" header="0.3" footer="0.3"/>
  <x:tableParts count="1">
    <x:tablePart xmlns:r="http://schemas.openxmlformats.org/officeDocument/2006/relationships" r:id="Rcbbedc4983f34c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8" t="str">
        <x:v>KPI</x:v>
      </x:c>
      <x:c r="B1" s="201" t="str">
        <x:v>Definition</x:v>
      </x:c>
      <x:c r="C1" s="201" t="str">
        <x:v>Business Use</x:v>
      </x:c>
    </x:row>
    <x:row r="2">
      <x:c r="A2" t="str">
        <x:v>Revenue</x:v>
      </x:c>
      <x:c r="B2" t="str">
        <x:v>Sum of transaction revenue</x:v>
      </x:c>
      <x:c r="C2" t="str">
        <x:v>Measures top-line performance</x:v>
      </x:c>
    </x:row>
    <x:row r="3">
      <x:c r="A3" t="str">
        <x:v>Profit</x:v>
      </x:c>
      <x:c r="B3" t="str">
        <x:v>Revenue minus cost</x:v>
      </x:c>
      <x:c r="C3" t="str">
        <x:v>Measures value created</x:v>
      </x:c>
    </x:row>
    <x:row r="4">
      <x:c r="A4" t="str">
        <x:v>Margin</x:v>
      </x:c>
      <x:c r="B4" t="str">
        <x:v>Profit divided by revenue</x:v>
      </x:c>
      <x:c r="C4" t="str">
        <x:v>Normalizes profitability</x:v>
      </x:c>
    </x:row>
    <x:row r="5">
      <x:c r="A5" t="str">
        <x:v>Units</x:v>
      </x:c>
      <x:c r="B5" t="str">
        <x:v>Sum of units sold</x:v>
      </x:c>
      <x:c r="C5" t="str">
        <x:v>Measures sales volume</x:v>
      </x:c>
    </x:row>
  </x:sheetData>
  <x:pageMargins left="0.7" right="0.7" top="0.75" bottom="0.75" header="0.3" footer="0.3"/>
</x:worksheet>
</file>