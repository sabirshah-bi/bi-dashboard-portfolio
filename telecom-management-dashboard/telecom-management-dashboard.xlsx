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b11644df0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lecom Dashboard" sheetId="1" r:id="Ra09629b0afda42ce"/>
    <x:sheet xmlns:r="http://schemas.openxmlformats.org/officeDocument/2006/relationships" name="Monthly Data" sheetId="2" r:id="Ra5401f8b417d4b1c"/>
    <x:sheet xmlns:r="http://schemas.openxmlformats.org/officeDocument/2006/relationships" name="Analysis" sheetId="3" r:id="R0279dfe0c3de4c08"/>
    <x:sheet xmlns:r="http://schemas.openxmlformats.org/officeDocument/2006/relationships" name="KPI Definitions" sheetId="4" r:id="Rf0c33cbe25d1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303038"/>
      <x:name val="Aptos"/>
    </x:font>
    <x:font>
      <x:b/>
      <x:sz val="22"/>
      <x:color rgb="FFFFFFFF"/>
      <x:name val="Aptos"/>
    </x:font>
    <x:font>
      <x:i/>
      <x:sz val="11"/>
      <x:color rgb="FF303038"/>
      <x:name val="Aptos"/>
    </x:font>
    <x:font>
      <x:b/>
      <x:sz val="11"/>
      <x:color rgb="FF303038"/>
      <x:name val="Aptos"/>
    </x:font>
    <x:font>
      <x:b/>
      <x:sz val="11"/>
      <x:color rgb="FF2F3445"/>
      <x:name val="Aptos"/>
    </x:font>
    <x:font>
      <x:b/>
      <x:sz val="14"/>
      <x:color rgb="FF303038"/>
      <x:name val="Aptos"/>
    </x:font>
    <x:font>
      <x:b/>
      <x:sz val="14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F3445"/>
      </x:patternFill>
    </x:fill>
    <x:fill>
      <x:patternFill patternType="solid">
        <x:fgColor rgb="FFF2E4ED"/>
      </x:patternFill>
    </x:fill>
    <x:fill>
      <x:patternFill patternType="solid">
        <x:fgColor rgb="FFFFFFFF"/>
      </x:patternFill>
    </x:fill>
    <x:fill>
      <x:patternFill patternType="solid">
        <x:fgColor rgb="FFF5F5F7"/>
      </x:patternFill>
    </x:fill>
    <x:fill>
      <x:patternFill patternType="solid">
        <x:fgColor rgb="FFD184B2"/>
      </x:patternFill>
    </x:fill>
  </x:fills>
  <x:borders count="11">
    <x:border/>
    <x:border>
      <x:left style="thin">
        <x:color rgb="FFD184B2"/>
      </x:left>
      <x:right style="thin">
        <x:color rgb="FFD184B2"/>
      </x:right>
      <x:top style="thin">
        <x:color rgb="FFD184B2"/>
      </x:top>
      <x:bottom style="thin">
        <x:color rgb="FFD184B2"/>
      </x:bottom>
    </x:border>
    <x:border>
      <x:left style="thin">
        <x:color rgb="FFD9D9DE"/>
      </x:left>
      <x:top style="thin">
        <x:color rgb="FFD9D9DE"/>
      </x:top>
    </x:border>
    <x:border>
      <x:top style="thin">
        <x:color rgb="FFD9D9DE"/>
      </x:top>
    </x:border>
    <x:border>
      <x:right style="thin">
        <x:color rgb="FFD9D9DE"/>
      </x:right>
      <x:top style="thin">
        <x:color rgb="FFD9D9DE"/>
      </x:top>
    </x:border>
    <x:border>
      <x:left style="thin">
        <x:color rgb="FFD9D9DE"/>
      </x:left>
    </x:border>
    <x:border>
      <x:right style="thin">
        <x:color rgb="FFD9D9DE"/>
      </x:right>
    </x:border>
    <x:border>
      <x:left style="thin">
        <x:color rgb="FFD9D9DE"/>
      </x:left>
      <x:bottom style="thin">
        <x:color rgb="FFD9D9DE"/>
      </x:bottom>
    </x:border>
    <x:border>
      <x:bottom style="thin">
        <x:color rgb="FFD9D9DE"/>
      </x:bottom>
    </x:border>
    <x:border>
      <x:right style="thin">
        <x:color rgb="FFD9D9DE"/>
      </x:right>
      <x:bottom style="thin">
        <x:color rgb="FFD9D9DE"/>
      </x:bottom>
    </x:border>
    <x:border>
      <x:bottom style="double">
        <x:color rgb="FFD9D9DE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4" xfId="0" applyNumberFormat="1" applyFont="1" applyFill="1" applyBorder="1" applyAlignment="1">
      <x:alignment horizontal="center" wrapText="1"/>
    </x:xf>
    <x:xf numFmtId="0" fontId="7" fillId="4" borderId="5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6" xfId="0" applyNumberFormat="1" applyFont="1" applyFill="1" applyBorder="1" applyAlignment="1">
      <x:alignment horizontal="center" wrapText="1"/>
    </x:xf>
    <x:xf numFmtId="0" fontId="7" fillId="4" borderId="7" xfId="0" applyNumberFormat="1" applyFont="1" applyFill="1" applyBorder="1" applyAlignment="1">
      <x:alignment horizontal="center" wrapText="1"/>
    </x:xf>
    <x:xf numFmtId="0" fontId="7" fillId="4" borderId="8" xfId="0" applyNumberFormat="1" applyFont="1" applyFill="1" applyBorder="1" applyAlignment="1">
      <x:alignment horizontal="center" wrapText="1"/>
    </x:xf>
    <x:xf numFmtId="0" fontId="7" fillId="4" borderId="9" xfId="0" applyNumberFormat="1" applyFont="1" applyFill="1" applyBorder="1" applyAlignment="1">
      <x:alignment horizont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6" xfId="0" applyNumberFormat="1" applyFont="1" applyFill="1" applyBorder="1" applyAlignment="1">
      <x:alignment horizontal="center" vertical="center"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7" fillId="4" borderId="8" xfId="0" applyNumberFormat="1" applyFont="1" applyFill="1" applyBorder="1" applyAlignment="1">
      <x:alignment horizontal="center" vertical="center" wrapText="1"/>
    </x:xf>
    <x:xf numFmtId="0" fontId="7" fillId="4" borderId="9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9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5" xfId="0" applyNumberFormat="1" applyFont="1" applyFill="1" applyBorder="1" applyAlignment="1">
      <x:alignment horizontal="center" wrapText="1"/>
    </x:xf>
    <x:xf numFmtId="0" fontId="8" fillId="6" borderId="6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0b60f17464997" /><Relationship Type="http://schemas.openxmlformats.org/officeDocument/2006/relationships/theme" Target="/xl/theme/theme1.xml" Id="Rdb6f9883454846a5" /><Relationship Type="http://schemas.openxmlformats.org/officeDocument/2006/relationships/sharedStrings" Target="/xl/sharedStrings.xml" Id="R28acbc68b62242b8" /><Relationship Type="http://schemas.openxmlformats.org/officeDocument/2006/relationships/worksheet" Target="/xl/worksheets/sheet1.xml" Id="Ra09629b0afda42ce" /><Relationship Type="http://schemas.openxmlformats.org/officeDocument/2006/relationships/worksheet" Target="/xl/worksheets/sheet2.xml" Id="Ra5401f8b417d4b1c" /><Relationship Type="http://schemas.openxmlformats.org/officeDocument/2006/relationships/worksheet" Target="/xl/worksheets/sheet3.xml" Id="R0279dfe0c3de4c08" /><Relationship Type="http://schemas.openxmlformats.org/officeDocument/2006/relationships/worksheet" Target="/xl/worksheets/sheet4.xml" Id="Rf0c33cbe25d140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8a94ad553a4bea" /><Relationship Type="http://schemas.openxmlformats.org/officeDocument/2006/relationships/chart" Target="/xl/drawings/charts/chart2.xml" Id="R6e8c450fe710457f" /><Relationship Type="http://schemas.openxmlformats.org/officeDocument/2006/relationships/chart" Target="/xl/drawings/charts/chart3.xml" Id="R675aa9ed268747a1" /><Relationship Type="http://schemas.openxmlformats.org/officeDocument/2006/relationships/chart" Target="/xl/drawings/charts/chart4.xml" Id="Re91eeda89ff34e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Subscriber Plan Mix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5 GB</c:v>
          </c:tx>
          <c:cat>
            <c:strRef>
              <c:f>'Analysis'!$A$2:$A$7</c:f>
              <c:strCache>
                <c:ptCount val="0"/>
              </c:strCache>
            </c:strRef>
          </c:cat>
          <c:val>
            <c:numRef>
              <c:f>'Analysis'!$B$2:$B$7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500 MB</c:v>
          </c:tx>
          <c:cat>
            <c:strRef>
              <c:f>'Analysis'!$A$2:$A$7</c:f>
              <c:strCache>
                <c:ptCount val="0"/>
              </c:strCache>
            </c:strRef>
          </c:cat>
          <c:val>
            <c:numRef>
              <c:f>'Analysis'!$C$2:$C$7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2 GB</c:v>
          </c:tx>
          <c:cat>
            <c:strRef>
              <c:f>'Analysis'!$A$2:$A$7</c:f>
              <c:strCache>
                <c:ptCount val="0"/>
              </c:strCache>
            </c:strRef>
          </c:cat>
          <c:val>
            <c:numRef>
              <c:f>'Analysis'!$D$2:$D$7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5 GB + Tethering</c:v>
          </c:tx>
          <c:cat>
            <c:strRef>
              <c:f>'Analysis'!$A$2:$A$7</c:f>
              <c:strCache>
                <c:ptCount val="0"/>
              </c:strCache>
            </c:strRef>
          </c:cat>
          <c:val>
            <c:numRef>
              <c:f>'Analysis'!$E$2:$E$7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CAPEX to Sales Ratio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CAPEX / Sales</c:v>
          </c:tx>
          <c:marker>
            <c:symbol val="none"/>
          </c:marker>
          <c:cat>
            <c:strRef>
              <c:f>'Analysis'!$G$2:$G$7</c:f>
              <c:strCache>
                <c:ptCount val="0"/>
              </c:strCache>
            </c:strRef>
          </c:cat>
          <c:val>
            <c:numRef>
              <c:f>'Analysis'!$H$2:$H$7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Service Utilization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Text</c:v>
          </c:tx>
          <c:marker>
            <c:symbol val="none"/>
          </c:marker>
          <c:cat>
            <c:strRef>
              <c:f>'Analysis'!$A$11:$A$16</c:f>
              <c:strCache>
                <c:ptCount val="0"/>
              </c:strCache>
            </c:strRef>
          </c:cat>
          <c:val>
            <c:numRef>
              <c:f>'Analysis'!$B$11:$B$16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Voice</c:v>
          </c:tx>
          <c:marker>
            <c:symbol val="none"/>
          </c:marker>
          <c:cat>
            <c:strRef>
              <c:f>'Analysis'!$A$11:$A$16</c:f>
              <c:strCache>
                <c:ptCount val="0"/>
              </c:strCache>
            </c:strRef>
          </c:cat>
          <c:val>
            <c:numRef>
              <c:f>'Analysis'!$C$11:$C$16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</c:v>
          </c:tx>
          <c:marker>
            <c:symbol val="none"/>
          </c:marker>
          <c:cat>
            <c:strRef>
              <c:f>'Analysis'!$A$11:$A$16</c:f>
              <c:strCache>
                <c:ptCount val="0"/>
              </c:strCache>
            </c:strRef>
          </c:cat>
          <c:val>
            <c:numRef>
              <c:f>'Analysis'!$D$11:$D$16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Gross vs. Net Subscriber Additions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Gross Adds</c:v>
          </c:tx>
          <c:cat>
            <c:strRef>
              <c:f>'Analysis'!$F$11:$F$16</c:f>
              <c:strCache>
                <c:ptCount val="0"/>
              </c:strCache>
            </c:strRef>
          </c:cat>
          <c:val>
            <c:numRef>
              <c:f>'Analysis'!$G$11:$G$16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Net Adds</c:v>
          </c:tx>
          <c:cat>
            <c:strRef>
              <c:f>'Analysis'!$F$11:$F$16</c:f>
              <c:strCache>
                <c:ptCount val="0"/>
              </c:strCache>
            </c:strRef>
          </c:cat>
          <c:val>
            <c:numRef>
              <c:f>'Analysis'!$H$11:$H$16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10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8a94ad553a4bea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8c450fe710457f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5aa9ed268747a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1eeda89ff34ec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lecomMonthlyTable" displayName="TelecomMonthlyTable" ref="A1:L73" headerRowCount="1" totalsRowCount="0" totalsRowShown="0">
  <x:tableColumns count="12">
    <x:tableColumn id="1" name="Month"/>
    <x:tableColumn id="2" name="Service_Type"/>
    <x:tableColumn id="3" name="Plan_Type"/>
    <x:tableColumn id="4" name="Subscribers"/>
    <x:tableColumn id="5" name="New_Subscribers"/>
    <x:tableColumn id="6" name="Disconnects"/>
    <x:tableColumn id="7" name="Revenue"/>
    <x:tableColumn id="8" name="Expenses"/>
    <x:tableColumn id="9" name="CAPEX"/>
    <x:tableColumn id="10" name="Text_Utilization"/>
    <x:tableColumn id="11" name="Voice_Utilization"/>
    <x:tableColumn id="12" name="Data_Utiliz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e731172d1b48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894faafcb649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3" hidden="0" customWidth="1"/>
  </x:cols>
  <x:sheetData>
    <x:row r="1">
      <x:c r="A1" s="8" t="str">
        <x:v>Telecom Management Dashboard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>
      <x:c r="A3" s="10" t="str">
        <x:v>Subscriber growth, service utilization, churn, financial efficiency, and network plan mix | Synthetic portfolio data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>
      <x:c r="A4" s="5"/>
      <x:c r="B4" s="5" t="str">
        <x:v>Service Type</x:v>
      </x:c>
      <x:c r="C4" s="5"/>
      <x:c r="D4" s="14" t="str">
        <x:v>All</x:v>
      </x:c>
      <x:c r="E4" s="14"/>
      <x:c r="F4" s="5" t="str">
        <x:v>Plan Type</x:v>
      </x:c>
      <x:c r="G4" s="5"/>
      <x:c r="H4" s="14" t="str">
        <x:v>All</x:v>
      </x:c>
      <x:c r="I4" s="14"/>
      <x:c r="J4" s="14"/>
      <x:c r="K4" s="17" t="str">
        <x:f>"Filters: "&amp;D4&amp;" | "&amp;H4</x:f>
        <x:v>Filters: All | All</x:v>
      </x:c>
      <x:c r="L4" s="17"/>
      <x:c r="M4" s="17"/>
      <x:c r="N4" s="17"/>
      <x:c r="O4" s="17"/>
      <x:c r="P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>
      <x:c r="A6" s="5"/>
      <x:c r="B6" s="45" t="str">
        <x:f>"TOTAL SUBSCRIBERS
"&amp;TEXT(SUMPRODUCT(--(('Monthly Data'!$B$2:$B$73=$D$4)+($D$4="All"))&gt;0,--(('Monthly Data'!$C$2:$C$73=$H$4)+($H$4="All"))&gt;0,'Monthly Data'!$D$2:$D$73)/1000,"0.0")&amp;"K"</x:f>
        <x:v>TOTAL SUBSCRIBERS
79.8K</x:v>
      </x:c>
      <x:c r="C6" s="46"/>
      <x:c r="D6" s="47"/>
      <x:c r="E6" s="45" t="str">
        <x:f>"NEW SUBSCRIBERS
"&amp;TEXT(SUMPRODUCT(--(('Monthly Data'!$B$2:$B$73=$D$4)+($D$4="All"))&gt;0,--(('Monthly Data'!$C$2:$C$73=$H$4)+($H$4="All"))&gt;0,'Monthly Data'!$E$2:$E$73)/1000,"0.0")&amp;"K"</x:f>
        <x:v>NEW SUBSCRIBERS
24.4K</x:v>
      </x:c>
      <x:c r="F6" s="46"/>
      <x:c r="G6" s="47"/>
      <x:c r="H6" s="45" t="str">
        <x:f>"DISCONNECTS
"&amp;TEXT(SUMPRODUCT(--(('Monthly Data'!$B$2:$B$73=$D$4)+($D$4="All"))&gt;0,--(('Monthly Data'!$C$2:$C$73=$H$4)+($H$4="All"))&gt;0,'Monthly Data'!$F$2:$F$73)/1000,"0.0")&amp;"K"</x:f>
        <x:v>DISCONNECTS
5.1K</x:v>
      </x:c>
      <x:c r="I6" s="46"/>
      <x:c r="J6" s="47"/>
      <x:c r="K6" s="45" t="str">
        <x:f>"REVENUE
$"&amp;TEXT(SUMPRODUCT(--(('Monthly Data'!$B$2:$B$73=$D$4)+($D$4="All"))&gt;0,--(('Monthly Data'!$C$2:$C$73=$H$4)+($H$4="All"))&gt;0,'Monthly Data'!$G$2:$G$73)/1000000,"0.0")&amp;"M"</x:f>
        <x:v>REVENUE
$6.1M</x:v>
      </x:c>
      <x:c r="L6" s="46"/>
      <x:c r="M6" s="47"/>
      <x:c r="N6" s="74" t="str">
        <x:f>"CHURN RATE
"&amp;TEXT(SUMPRODUCT(--(('Monthly Data'!$B$2:$B$73=$D$4)+($D$4="All"))&gt;0,--(('Monthly Data'!$C$2:$C$73=$H$4)+($H$4="All"))&gt;0,'Monthly Data'!$F$2:$F$73)/SUMPRODUCT(--(('Monthly Data'!$B$2:$B$73=$D$4)+($D$4="All"))&gt;0,--(('Monthly Data'!$C$2:$C$73=$H$4)+($H$4="All"))&gt;0,'Monthly Data'!$D$2:$D$73),"0.0%")</x:f>
        <x:v>CHURN RATE
6.3%</x:v>
      </x:c>
      <x:c r="O6" s="75"/>
      <x:c r="P6" s="5"/>
    </x:row>
    <x:row r="7">
      <x:c r="A7" s="5"/>
      <x:c r="B7" s="48"/>
      <x:c r="C7" s="49"/>
      <x:c r="D7" s="50"/>
      <x:c r="E7" s="48"/>
      <x:c r="F7" s="49"/>
      <x:c r="G7" s="50"/>
      <x:c r="H7" s="48"/>
      <x:c r="I7" s="49"/>
      <x:c r="J7" s="50"/>
      <x:c r="K7" s="48"/>
      <x:c r="L7" s="49"/>
      <x:c r="M7" s="50"/>
      <x:c r="N7" s="76"/>
      <x:c r="O7" s="77"/>
      <x:c r="P7" s="5"/>
    </x:row>
    <x:row r="8">
      <x:c r="A8" s="5"/>
      <x:c r="B8" s="51"/>
      <x:c r="C8" s="52"/>
      <x:c r="D8" s="53"/>
      <x:c r="E8" s="51"/>
      <x:c r="F8" s="52"/>
      <x:c r="G8" s="53"/>
      <x:c r="H8" s="51"/>
      <x:c r="I8" s="52"/>
      <x:c r="J8" s="53"/>
      <x:c r="K8" s="51"/>
      <x:c r="L8" s="52"/>
      <x:c r="M8" s="53"/>
      <x:c r="N8" s="78"/>
      <x:c r="O8" s="79"/>
      <x:c r="P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</x:row>
    <x:row r="10">
      <x:c r="A10" s="5"/>
      <x:c r="B10" s="80" t="str">
        <x:v>Network Utilization by Subscriber Plan</x:v>
      </x:c>
      <x:c r="C10" s="80"/>
      <x:c r="D10" s="80"/>
      <x:c r="E10" s="80"/>
      <x:c r="F10" s="80"/>
      <x:c r="G10" s="80"/>
      <x:c r="H10" s="80"/>
      <x:c r="I10" s="80" t="str">
        <x:v>CAPEX to Sales Ratio</x:v>
      </x:c>
      <x:c r="J10" s="80"/>
      <x:c r="K10" s="80"/>
      <x:c r="L10" s="80"/>
      <x:c r="M10" s="80"/>
      <x:c r="N10" s="80"/>
      <x:c r="O10" s="80"/>
      <x:c r="P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</x:row>
    <x:row r="24">
      <x:c r="A24" s="5"/>
      <x:c r="B24" s="80" t="str">
        <x:v>Text, Voice, and Data Services Utilization</x:v>
      </x:c>
      <x:c r="C24" s="80"/>
      <x:c r="D24" s="80"/>
      <x:c r="E24" s="80"/>
      <x:c r="F24" s="80"/>
      <x:c r="G24" s="80"/>
      <x:c r="H24" s="80"/>
      <x:c r="I24" s="80" t="str">
        <x:v>Gross vs. Net Subscriber Additions</x:v>
      </x:c>
      <x:c r="J24" s="80"/>
      <x:c r="K24" s="80"/>
      <x:c r="L24" s="80"/>
      <x:c r="M24" s="80"/>
      <x:c r="N24" s="80"/>
      <x:c r="O24" s="80"/>
      <x:c r="P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</x:row>
  </x:sheetData>
  <x:mergeCells>
    <x:mergeCell ref="A1:P2"/>
    <x:mergeCell ref="A3:P3"/>
    <x:mergeCell ref="B4:C4"/>
    <x:mergeCell ref="D4:E4"/>
    <x:mergeCell ref="F4:G4"/>
    <x:mergeCell ref="H4:J4"/>
    <x:mergeCell ref="K4:O4"/>
    <x:mergeCell ref="B6:D8"/>
    <x:mergeCell ref="E6:G8"/>
    <x:mergeCell ref="H6:J8"/>
    <x:mergeCell ref="K6:M8"/>
    <x:mergeCell ref="N6:O8"/>
    <x:mergeCell ref="B10:H10"/>
    <x:mergeCell ref="I10:O10"/>
    <x:mergeCell ref="B24:H24"/>
    <x:mergeCell ref="I24:O24"/>
  </x:mergeCells>
  <x:dataValidations count="2">
    <x:dataValidation type="list" sqref="D4">
      <x:formula1>"All,Mobile,Broadband,Voice"</x:formula1>
    </x:dataValidation>
    <x:dataValidation type="list" sqref="H4">
      <x:formula1>"All,5 GB,500 MB,2 GB,5 GB + Tethering"</x:formula1>
    </x:dataValidation>
  </x:dataValidations>
  <x:pageMargins left="0.7" right="0.7" top="0.75" bottom="0.75" header="0.3" footer="0.3"/>
  <x:drawing xmlns:r="http://schemas.openxmlformats.org/officeDocument/2006/relationships" r:id="R90e731172d1b48b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 t="str">
        <x:v>Month</x:v>
      </x:c>
      <x:c r="B1" s="2" t="str">
        <x:v>Service_Type</x:v>
      </x:c>
      <x:c r="C1" s="2" t="str">
        <x:v>Plan_Type</x:v>
      </x:c>
      <x:c r="D1" s="2" t="str">
        <x:v>Subscribers</x:v>
      </x:c>
      <x:c r="E1" s="2" t="str">
        <x:v>New_Subscribers</x:v>
      </x:c>
      <x:c r="F1" s="2" t="str">
        <x:v>Disconnects</x:v>
      </x:c>
      <x:c r="G1" s="2" t="str">
        <x:v>Revenue</x:v>
      </x:c>
      <x:c r="H1" s="2" t="str">
        <x:v>Expenses</x:v>
      </x:c>
      <x:c r="I1" s="2" t="str">
        <x:v>CAPEX</x:v>
      </x:c>
      <x:c r="J1" s="2" t="str">
        <x:v>Text_Utilization</x:v>
      </x:c>
      <x:c r="K1" s="2" t="str">
        <x:v>Voice_Utilization</x:v>
      </x:c>
      <x:c r="L1" s="2" t="str">
        <x:v>Data_Utilization</x:v>
      </x:c>
    </x:row>
    <x:row r="2">
      <x:c r="A2" t="str">
        <x:v>Jul 2025</x:v>
      </x:c>
      <x:c r="B2" t="str">
        <x:v>Mobile</x:v>
      </x:c>
      <x:c r="C2" t="str">
        <x:v>5 GB</x:v>
      </x:c>
      <x:c r="D2" t="n">
        <x:v>780</x:v>
      </x:c>
      <x:c r="E2" t="n">
        <x:v>140</x:v>
      </x:c>
      <x:c r="F2" t="n">
        <x:v>25</x:v>
      </x:c>
      <x:c r="G2" s="3" t="n">
        <x:v>45240</x:v>
      </x:c>
      <x:c r="H2" s="3" t="n">
        <x:v>5428.8</x:v>
      </x:c>
      <x:c r="I2" s="3" t="n">
        <x:v>6786</x:v>
      </x:c>
      <x:c r="J2" s="4" t="n">
        <x:v>0.26</x:v>
      </x:c>
      <x:c r="K2" s="4" t="n">
        <x:v>0.27</x:v>
      </x:c>
      <x:c r="L2" s="4" t="n">
        <x:v>0.28</x:v>
      </x:c>
    </x:row>
    <x:row r="3">
      <x:c r="A3" t="str">
        <x:v>Jul 2025</x:v>
      </x:c>
      <x:c r="B3" t="str">
        <x:v>Mobile</x:v>
      </x:c>
      <x:c r="C3" t="str">
        <x:v>500 MB</x:v>
      </x:c>
      <x:c r="D3" t="n">
        <x:v>833</x:v>
      </x:c>
      <x:c r="E3" t="n">
        <x:v>171</x:v>
      </x:c>
      <x:c r="F3" t="n">
        <x:v>36</x:v>
      </x:c>
      <x:c r="G3" s="3" t="n">
        <x:v>51646</x:v>
      </x:c>
      <x:c r="H3" s="3" t="n">
        <x:v>6197.5199999999995</x:v>
      </x:c>
      <x:c r="I3" s="3" t="n">
        <x:v>8263.36</x:v>
      </x:c>
      <x:c r="J3" s="4" t="n">
        <x:v>0.28</x:v>
      </x:c>
      <x:c r="K3" s="4" t="n">
        <x:v>0.28</x:v>
      </x:c>
      <x:c r="L3" s="4" t="n">
        <x:v>0.32</x:v>
      </x:c>
    </x:row>
    <x:row r="4">
      <x:c r="A4" t="str">
        <x:v>Jul 2025</x:v>
      </x:c>
      <x:c r="B4" t="str">
        <x:v>Mobile</x:v>
      </x:c>
      <x:c r="C4" t="str">
        <x:v>2 GB</x:v>
      </x:c>
      <x:c r="D4" t="n">
        <x:v>886</x:v>
      </x:c>
      <x:c r="E4" t="n">
        <x:v>202</x:v>
      </x:c>
      <x:c r="F4" t="n">
        <x:v>47</x:v>
      </x:c>
      <x:c r="G4" s="3" t="n">
        <x:v>58476</x:v>
      </x:c>
      <x:c r="H4" s="3" t="n">
        <x:v>7017.12</x:v>
      </x:c>
      <x:c r="I4" s="3" t="n">
        <x:v>9940.919999999998</x:v>
      </x:c>
      <x:c r="J4" s="4" t="n">
        <x:v>0.3</x:v>
      </x:c>
      <x:c r="K4" s="4" t="n">
        <x:v>0.29000000000000004</x:v>
      </x:c>
      <x:c r="L4" s="4" t="n">
        <x:v>0.36000000000000004</x:v>
      </x:c>
    </x:row>
    <x:row r="5">
      <x:c r="A5" t="str">
        <x:v>Jul 2025</x:v>
      </x:c>
      <x:c r="B5" t="str">
        <x:v>Mobile</x:v>
      </x:c>
      <x:c r="C5" t="str">
        <x:v>5 GB + Tethering</x:v>
      </x:c>
      <x:c r="D5" t="n">
        <x:v>939</x:v>
      </x:c>
      <x:c r="E5" t="n">
        <x:v>233</x:v>
      </x:c>
      <x:c r="F5" t="n">
        <x:v>58</x:v>
      </x:c>
      <x:c r="G5" s="3" t="n">
        <x:v>65730</x:v>
      </x:c>
      <x:c r="H5" s="3" t="n">
        <x:v>7887.599999999999</x:v>
      </x:c>
      <x:c r="I5" s="3" t="n">
        <x:v>11831.4</x:v>
      </x:c>
      <x:c r="J5" s="4" t="n">
        <x:v>0.32</x:v>
      </x:c>
      <x:c r="K5" s="4" t="n">
        <x:v>0.30000000000000004</x:v>
      </x:c>
      <x:c r="L5" s="4" t="n">
        <x:v>0.4</x:v>
      </x:c>
    </x:row>
    <x:row r="6">
      <x:c r="A6" t="str">
        <x:v>Jul 2025</x:v>
      </x:c>
      <x:c r="B6" t="str">
        <x:v>Broadband</x:v>
      </x:c>
      <x:c r="C6" t="str">
        <x:v>5 GB</x:v>
      </x:c>
      <x:c r="D6" t="n">
        <x:v>877</x:v>
      </x:c>
      <x:c r="E6" t="n">
        <x:v>183</x:v>
      </x:c>
      <x:c r="F6" t="n">
        <x:v>42</x:v>
      </x:c>
      <x:c r="G6" s="3" t="n">
        <x:v>61390</x:v>
      </x:c>
      <x:c r="H6" s="3" t="n">
        <x:v>7366.8</x:v>
      </x:c>
      <x:c r="I6" s="3" t="n">
        <x:v>11050.199999999999</x:v>
      </x:c>
      <x:c r="J6" s="4" t="n">
        <x:v>0.27</x:v>
      </x:c>
      <x:c r="K6" s="4" t="n">
        <x:v>0.29000000000000004</x:v>
      </x:c>
      <x:c r="L6" s="4" t="n">
        <x:v>0.29000000000000004</x:v>
      </x:c>
    </x:row>
    <x:row r="7">
      <x:c r="A7" t="str">
        <x:v>Jul 2025</x:v>
      </x:c>
      <x:c r="B7" t="str">
        <x:v>Broadband</x:v>
      </x:c>
      <x:c r="C7" t="str">
        <x:v>500 MB</x:v>
      </x:c>
      <x:c r="D7" t="n">
        <x:v>930</x:v>
      </x:c>
      <x:c r="E7" t="n">
        <x:v>214</x:v>
      </x:c>
      <x:c r="F7" t="n">
        <x:v>53</x:v>
      </x:c>
      <x:c r="G7" s="3" t="n">
        <x:v>68820</x:v>
      </x:c>
      <x:c r="H7" s="3" t="n">
        <x:v>8258.4</x:v>
      </x:c>
      <x:c r="I7" s="3" t="n">
        <x:v>13075.8</x:v>
      </x:c>
      <x:c r="J7" s="4" t="n">
        <x:v>0.29000000000000004</x:v>
      </x:c>
      <x:c r="K7" s="4" t="n">
        <x:v>0.30000000000000004</x:v>
      </x:c>
      <x:c r="L7" s="4" t="n">
        <x:v>0.33</x:v>
      </x:c>
    </x:row>
    <x:row r="8">
      <x:c r="A8" t="str">
        <x:v>Jul 2025</x:v>
      </x:c>
      <x:c r="B8" t="str">
        <x:v>Broadband</x:v>
      </x:c>
      <x:c r="C8" t="str">
        <x:v>2 GB</x:v>
      </x:c>
      <x:c r="D8" t="n">
        <x:v>983</x:v>
      </x:c>
      <x:c r="E8" t="n">
        <x:v>245</x:v>
      </x:c>
      <x:c r="F8" t="n">
        <x:v>64</x:v>
      </x:c>
      <x:c r="G8" s="3" t="n">
        <x:v>76674</x:v>
      </x:c>
      <x:c r="H8" s="3" t="n">
        <x:v>9200.88</x:v>
      </x:c>
      <x:c r="I8" s="3" t="n">
        <x:v>15334.800000000001</x:v>
      </x:c>
      <x:c r="J8" s="4" t="n">
        <x:v>0.31</x:v>
      </x:c>
      <x:c r="K8" s="4" t="n">
        <x:v>0.31</x:v>
      </x:c>
      <x:c r="L8" s="4" t="n">
        <x:v>0.37</x:v>
      </x:c>
    </x:row>
    <x:row r="9">
      <x:c r="A9" t="str">
        <x:v>Jul 2025</x:v>
      </x:c>
      <x:c r="B9" t="str">
        <x:v>Broadband</x:v>
      </x:c>
      <x:c r="C9" t="str">
        <x:v>5 GB + Tethering</x:v>
      </x:c>
      <x:c r="D9" t="n">
        <x:v>1036</x:v>
      </x:c>
      <x:c r="E9" t="n">
        <x:v>276</x:v>
      </x:c>
      <x:c r="F9" t="n">
        <x:v>75</x:v>
      </x:c>
      <x:c r="G9" s="3" t="n">
        <x:v>84952</x:v>
      </x:c>
      <x:c r="H9" s="3" t="n">
        <x:v>10194.24</x:v>
      </x:c>
      <x:c r="I9" s="3" t="n">
        <x:v>17839.92</x:v>
      </x:c>
      <x:c r="J9" s="4" t="n">
        <x:v>0.33</x:v>
      </x:c>
      <x:c r="K9" s="4" t="n">
        <x:v>0.32</x:v>
      </x:c>
      <x:c r="L9" s="4" t="n">
        <x:v>0.41000000000000003</x:v>
      </x:c>
    </x:row>
    <x:row r="10">
      <x:c r="A10" t="str">
        <x:v>Jul 2025</x:v>
      </x:c>
      <x:c r="B10" t="str">
        <x:v>Voice</x:v>
      </x:c>
      <x:c r="C10" t="str">
        <x:v>5 GB</x:v>
      </x:c>
      <x:c r="D10" t="n">
        <x:v>974</x:v>
      </x:c>
      <x:c r="E10" t="n">
        <x:v>226</x:v>
      </x:c>
      <x:c r="F10" t="n">
        <x:v>59</x:v>
      </x:c>
      <x:c r="G10" s="3" t="n">
        <x:v>79868</x:v>
      </x:c>
      <x:c r="H10" s="3" t="n">
        <x:v>9584.16</x:v>
      </x:c>
      <x:c r="I10" s="3" t="n">
        <x:v>16772.28</x:v>
      </x:c>
      <x:c r="J10" s="4" t="n">
        <x:v>0.28</x:v>
      </x:c>
      <x:c r="K10" s="4" t="n">
        <x:v>0.31</x:v>
      </x:c>
      <x:c r="L10" s="4" t="n">
        <x:v>0.30000000000000004</x:v>
      </x:c>
    </x:row>
    <x:row r="11">
      <x:c r="A11" t="str">
        <x:v>Jul 2025</x:v>
      </x:c>
      <x:c r="B11" t="str">
        <x:v>Voice</x:v>
      </x:c>
      <x:c r="C11" t="str">
        <x:v>500 MB</x:v>
      </x:c>
      <x:c r="D11" t="n">
        <x:v>1027</x:v>
      </x:c>
      <x:c r="E11" t="n">
        <x:v>257</x:v>
      </x:c>
      <x:c r="F11" t="n">
        <x:v>70</x:v>
      </x:c>
      <x:c r="G11" s="3" t="n">
        <x:v>88322</x:v>
      </x:c>
      <x:c r="H11" s="3" t="n">
        <x:v>10598.64</x:v>
      </x:c>
      <x:c r="I11" s="3" t="n">
        <x:v>19430.84</x:v>
      </x:c>
      <x:c r="J11" s="4" t="n">
        <x:v>0.3</x:v>
      </x:c>
      <x:c r="K11" s="4" t="n">
        <x:v>0.32</x:v>
      </x:c>
      <x:c r="L11" s="4" t="n">
        <x:v>0.34</x:v>
      </x:c>
    </x:row>
    <x:row r="12">
      <x:c r="A12" t="str">
        <x:v>Jul 2025</x:v>
      </x:c>
      <x:c r="B12" t="str">
        <x:v>Voice</x:v>
      </x:c>
      <x:c r="C12" t="str">
        <x:v>2 GB</x:v>
      </x:c>
      <x:c r="D12" t="n">
        <x:v>1080</x:v>
      </x:c>
      <x:c r="E12" t="n">
        <x:v>288</x:v>
      </x:c>
      <x:c r="F12" t="n">
        <x:v>81</x:v>
      </x:c>
      <x:c r="G12" s="3" t="n">
        <x:v>97200</x:v>
      </x:c>
      <x:c r="H12" s="3" t="n">
        <x:v>11664</x:v>
      </x:c>
      <x:c r="I12" s="3" t="n">
        <x:v>22356</x:v>
      </x:c>
      <x:c r="J12" s="4" t="n">
        <x:v>0.32</x:v>
      </x:c>
      <x:c r="K12" s="4" t="n">
        <x:v>0.33</x:v>
      </x:c>
      <x:c r="L12" s="4" t="n">
        <x:v>0.38</x:v>
      </x:c>
    </x:row>
    <x:row r="13">
      <x:c r="A13" t="str">
        <x:v>Jul 2025</x:v>
      </x:c>
      <x:c r="B13" t="str">
        <x:v>Voice</x:v>
      </x:c>
      <x:c r="C13" t="str">
        <x:v>5 GB + Tethering</x:v>
      </x:c>
      <x:c r="D13" t="n">
        <x:v>1133</x:v>
      </x:c>
      <x:c r="E13" t="n">
        <x:v>319</x:v>
      </x:c>
      <x:c r="F13" t="n">
        <x:v>92</x:v>
      </x:c>
      <x:c r="G13" s="3" t="n">
        <x:v>106502</x:v>
      </x:c>
      <x:c r="H13" s="3" t="n">
        <x:v>12780.24</x:v>
      </x:c>
      <x:c r="I13" s="3" t="n">
        <x:v>25560.48</x:v>
      </x:c>
      <x:c r="J13" s="4" t="n">
        <x:v>0.34</x:v>
      </x:c>
      <x:c r="K13" s="4" t="n">
        <x:v>0.34</x:v>
      </x:c>
      <x:c r="L13" s="4" t="n">
        <x:v>0.42000000000000004</x:v>
      </x:c>
    </x:row>
    <x:row r="14">
      <x:c r="A14" t="str">
        <x:v>Aug 2025</x:v>
      </x:c>
      <x:c r="B14" t="str">
        <x:v>Mobile</x:v>
      </x:c>
      <x:c r="C14" t="str">
        <x:v>5 GB</x:v>
      </x:c>
      <x:c r="D14" t="n">
        <x:v>841</x:v>
      </x:c>
      <x:c r="E14" t="n">
        <x:v>211</x:v>
      </x:c>
      <x:c r="F14" t="n">
        <x:v>44</x:v>
      </x:c>
      <x:c r="G14" s="3" t="n">
        <x:v>48778</x:v>
      </x:c>
      <x:c r="H14" s="3" t="n">
        <x:v>6585.030000000001</x:v>
      </x:c>
      <x:c r="I14" s="3" t="n">
        <x:v>10731.16</x:v>
      </x:c>
      <x:c r="J14" s="4" t="n">
        <x:v>0.33</x:v>
      </x:c>
      <x:c r="K14" s="4" t="n">
        <x:v>0.32</x:v>
      </x:c>
      <x:c r="L14" s="4" t="n">
        <x:v>0.31000000000000005</x:v>
      </x:c>
    </x:row>
    <x:row r="15">
      <x:c r="A15" t="str">
        <x:v>Aug 2025</x:v>
      </x:c>
      <x:c r="B15" t="str">
        <x:v>Mobile</x:v>
      </x:c>
      <x:c r="C15" t="str">
        <x:v>500 MB</x:v>
      </x:c>
      <x:c r="D15" t="n">
        <x:v>894</x:v>
      </x:c>
      <x:c r="E15" t="n">
        <x:v>242</x:v>
      </x:c>
      <x:c r="F15" t="n">
        <x:v>55</x:v>
      </x:c>
      <x:c r="G15" s="3" t="n">
        <x:v>55428</x:v>
      </x:c>
      <x:c r="H15" s="3" t="n">
        <x:v>7482.780000000001</x:v>
      </x:c>
      <x:c r="I15" s="3" t="n">
        <x:v>12748.439999999999</x:v>
      </x:c>
      <x:c r="J15" s="4" t="n">
        <x:v>0.35</x:v>
      </x:c>
      <x:c r="K15" s="4" t="n">
        <x:v>0.33</x:v>
      </x:c>
      <x:c r="L15" s="4" t="n">
        <x:v>0.35000000000000003</x:v>
      </x:c>
    </x:row>
    <x:row r="16">
      <x:c r="A16" t="str">
        <x:v>Aug 2025</x:v>
      </x:c>
      <x:c r="B16" t="str">
        <x:v>Mobile</x:v>
      </x:c>
      <x:c r="C16" t="str">
        <x:v>2 GB</x:v>
      </x:c>
      <x:c r="D16" t="n">
        <x:v>947</x:v>
      </x:c>
      <x:c r="E16" t="n">
        <x:v>273</x:v>
      </x:c>
      <x:c r="F16" t="n">
        <x:v>66</x:v>
      </x:c>
      <x:c r="G16" s="3" t="n">
        <x:v>62502</x:v>
      </x:c>
      <x:c r="H16" s="3" t="n">
        <x:v>8437.77</x:v>
      </x:c>
      <x:c r="I16" s="3" t="n">
        <x:v>15000.48</x:v>
      </x:c>
      <x:c r="J16" s="4" t="n">
        <x:v>0.37</x:v>
      </x:c>
      <x:c r="K16" s="4" t="n">
        <x:v>0.34</x:v>
      </x:c>
      <x:c r="L16" s="4" t="n">
        <x:v>0.39</x:v>
      </x:c>
    </x:row>
    <x:row r="17">
      <x:c r="A17" t="str">
        <x:v>Aug 2025</x:v>
      </x:c>
      <x:c r="B17" t="str">
        <x:v>Mobile</x:v>
      </x:c>
      <x:c r="C17" t="str">
        <x:v>5 GB + Tethering</x:v>
      </x:c>
      <x:c r="D17" t="n">
        <x:v>1000</x:v>
      </x:c>
      <x:c r="E17" t="n">
        <x:v>304</x:v>
      </x:c>
      <x:c r="F17" t="n">
        <x:v>77</x:v>
      </x:c>
      <x:c r="G17" s="3" t="n">
        <x:v>70000</x:v>
      </x:c>
      <x:c r="H17" s="3" t="n">
        <x:v>9450</x:v>
      </x:c>
      <x:c r="I17" s="3" t="n">
        <x:v>10500</x:v>
      </x:c>
      <x:c r="J17" s="4" t="n">
        <x:v>0.39</x:v>
      </x:c>
      <x:c r="K17" s="4" t="n">
        <x:v>0.35000000000000003</x:v>
      </x:c>
      <x:c r="L17" s="4" t="n">
        <x:v>0.43000000000000005</x:v>
      </x:c>
    </x:row>
    <x:row r="18">
      <x:c r="A18" t="str">
        <x:v>Aug 2025</x:v>
      </x:c>
      <x:c r="B18" t="str">
        <x:v>Broadband</x:v>
      </x:c>
      <x:c r="C18" t="str">
        <x:v>5 GB</x:v>
      </x:c>
      <x:c r="D18" t="n">
        <x:v>938</x:v>
      </x:c>
      <x:c r="E18" t="n">
        <x:v>254</x:v>
      </x:c>
      <x:c r="F18" t="n">
        <x:v>61</x:v>
      </x:c>
      <x:c r="G18" s="3" t="n">
        <x:v>65660</x:v>
      </x:c>
      <x:c r="H18" s="3" t="n">
        <x:v>8864.1</x:v>
      </x:c>
      <x:c r="I18" s="3" t="n">
        <x:v>9849</x:v>
      </x:c>
      <x:c r="J18" s="4" t="n">
        <x:v>0.34</x:v>
      </x:c>
      <x:c r="K18" s="4" t="n">
        <x:v>0.34</x:v>
      </x:c>
      <x:c r="L18" s="4" t="n">
        <x:v>0.32</x:v>
      </x:c>
    </x:row>
    <x:row r="19">
      <x:c r="A19" t="str">
        <x:v>Aug 2025</x:v>
      </x:c>
      <x:c r="B19" t="str">
        <x:v>Broadband</x:v>
      </x:c>
      <x:c r="C19" t="str">
        <x:v>500 MB</x:v>
      </x:c>
      <x:c r="D19" t="n">
        <x:v>991</x:v>
      </x:c>
      <x:c r="E19" t="n">
        <x:v>285</x:v>
      </x:c>
      <x:c r="F19" t="n">
        <x:v>72</x:v>
      </x:c>
      <x:c r="G19" s="3" t="n">
        <x:v>73334</x:v>
      </x:c>
      <x:c r="H19" s="3" t="n">
        <x:v>9900.09</x:v>
      </x:c>
      <x:c r="I19" s="3" t="n">
        <x:v>11733.44</x:v>
      </x:c>
      <x:c r="J19" s="4" t="n">
        <x:v>0.36</x:v>
      </x:c>
      <x:c r="K19" s="4" t="n">
        <x:v>0.35000000000000003</x:v>
      </x:c>
      <x:c r="L19" s="4" t="n">
        <x:v>0.36000000000000004</x:v>
      </x:c>
    </x:row>
    <x:row r="20">
      <x:c r="A20" t="str">
        <x:v>Aug 2025</x:v>
      </x:c>
      <x:c r="B20" t="str">
        <x:v>Broadband</x:v>
      </x:c>
      <x:c r="C20" t="str">
        <x:v>2 GB</x:v>
      </x:c>
      <x:c r="D20" t="n">
        <x:v>1044</x:v>
      </x:c>
      <x:c r="E20" t="n">
        <x:v>316</x:v>
      </x:c>
      <x:c r="F20" t="n">
        <x:v>83</x:v>
      </x:c>
      <x:c r="G20" s="3" t="n">
        <x:v>81432</x:v>
      </x:c>
      <x:c r="H20" s="3" t="n">
        <x:v>10993.320000000002</x:v>
      </x:c>
      <x:c r="I20" s="3" t="n">
        <x:v>13843.439999999999</x:v>
      </x:c>
      <x:c r="J20" s="4" t="n">
        <x:v>0.38</x:v>
      </x:c>
      <x:c r="K20" s="4" t="n">
        <x:v>0.36</x:v>
      </x:c>
      <x:c r="L20" s="4" t="n">
        <x:v>0.4</x:v>
      </x:c>
    </x:row>
    <x:row r="21">
      <x:c r="A21" t="str">
        <x:v>Aug 2025</x:v>
      </x:c>
      <x:c r="B21" t="str">
        <x:v>Broadband</x:v>
      </x:c>
      <x:c r="C21" t="str">
        <x:v>5 GB + Tethering</x:v>
      </x:c>
      <x:c r="D21" t="n">
        <x:v>1097</x:v>
      </x:c>
      <x:c r="E21" t="n">
        <x:v>347</x:v>
      </x:c>
      <x:c r="F21" t="n">
        <x:v>94</x:v>
      </x:c>
      <x:c r="G21" s="3" t="n">
        <x:v>89954</x:v>
      </x:c>
      <x:c r="H21" s="3" t="n">
        <x:v>12143.79</x:v>
      </x:c>
      <x:c r="I21" s="3" t="n">
        <x:v>16191.72</x:v>
      </x:c>
      <x:c r="J21" s="4" t="n">
        <x:v>0.4</x:v>
      </x:c>
      <x:c r="K21" s="4" t="n">
        <x:v>0.37</x:v>
      </x:c>
      <x:c r="L21" s="4" t="n">
        <x:v>0.44000000000000006</x:v>
      </x:c>
    </x:row>
    <x:row r="22">
      <x:c r="A22" t="str">
        <x:v>Aug 2025</x:v>
      </x:c>
      <x:c r="B22" t="str">
        <x:v>Voice</x:v>
      </x:c>
      <x:c r="C22" t="str">
        <x:v>5 GB</x:v>
      </x:c>
      <x:c r="D22" t="n">
        <x:v>1035</x:v>
      </x:c>
      <x:c r="E22" t="n">
        <x:v>297</x:v>
      </x:c>
      <x:c r="F22" t="n">
        <x:v>78</x:v>
      </x:c>
      <x:c r="G22" s="3" t="n">
        <x:v>84870</x:v>
      </x:c>
      <x:c r="H22" s="3" t="n">
        <x:v>11457.45</x:v>
      </x:c>
      <x:c r="I22" s="3" t="n">
        <x:v>15276.599999999999</x:v>
      </x:c>
      <x:c r="J22" s="4" t="n">
        <x:v>0.35</x:v>
      </x:c>
      <x:c r="K22" s="4" t="n">
        <x:v>0.36</x:v>
      </x:c>
      <x:c r="L22" s="4" t="n">
        <x:v>0.33</x:v>
      </x:c>
    </x:row>
    <x:row r="23">
      <x:c r="A23" t="str">
        <x:v>Aug 2025</x:v>
      </x:c>
      <x:c r="B23" t="str">
        <x:v>Voice</x:v>
      </x:c>
      <x:c r="C23" t="str">
        <x:v>500 MB</x:v>
      </x:c>
      <x:c r="D23" t="n">
        <x:v>1088</x:v>
      </x:c>
      <x:c r="E23" t="n">
        <x:v>328</x:v>
      </x:c>
      <x:c r="F23" t="n">
        <x:v>89</x:v>
      </x:c>
      <x:c r="G23" s="3" t="n">
        <x:v>93568</x:v>
      </x:c>
      <x:c r="H23" s="3" t="n">
        <x:v>12631.68</x:v>
      </x:c>
      <x:c r="I23" s="3" t="n">
        <x:v>17777.920000000002</x:v>
      </x:c>
      <x:c r="J23" s="4" t="n">
        <x:v>0.37</x:v>
      </x:c>
      <x:c r="K23" s="4" t="n">
        <x:v>0.37</x:v>
      </x:c>
      <x:c r="L23" s="4" t="n">
        <x:v>0.37</x:v>
      </x:c>
    </x:row>
    <x:row r="24">
      <x:c r="A24" t="str">
        <x:v>Aug 2025</x:v>
      </x:c>
      <x:c r="B24" t="str">
        <x:v>Voice</x:v>
      </x:c>
      <x:c r="C24" t="str">
        <x:v>2 GB</x:v>
      </x:c>
      <x:c r="D24" t="n">
        <x:v>1141</x:v>
      </x:c>
      <x:c r="E24" t="n">
        <x:v>359</x:v>
      </x:c>
      <x:c r="F24" t="n">
        <x:v>100</x:v>
      </x:c>
      <x:c r="G24" s="3" t="n">
        <x:v>102690</x:v>
      </x:c>
      <x:c r="H24" s="3" t="n">
        <x:v>13863.150000000001</x:v>
      </x:c>
      <x:c r="I24" s="3" t="n">
        <x:v>20538</x:v>
      </x:c>
      <x:c r="J24" s="4" t="n">
        <x:v>0.39</x:v>
      </x:c>
      <x:c r="K24" s="4" t="n">
        <x:v>0.38</x:v>
      </x:c>
      <x:c r="L24" s="4" t="n">
        <x:v>0.41000000000000003</x:v>
      </x:c>
    </x:row>
    <x:row r="25">
      <x:c r="A25" t="str">
        <x:v>Aug 2025</x:v>
      </x:c>
      <x:c r="B25" t="str">
        <x:v>Voice</x:v>
      </x:c>
      <x:c r="C25" t="str">
        <x:v>5 GB + Tethering</x:v>
      </x:c>
      <x:c r="D25" t="n">
        <x:v>1194</x:v>
      </x:c>
      <x:c r="E25" t="n">
        <x:v>390</x:v>
      </x:c>
      <x:c r="F25" t="n">
        <x:v>111</x:v>
      </x:c>
      <x:c r="G25" s="3" t="n">
        <x:v>112236</x:v>
      </x:c>
      <x:c r="H25" s="3" t="n">
        <x:v>15151.86</x:v>
      </x:c>
      <x:c r="I25" s="3" t="n">
        <x:v>23569.559999999998</x:v>
      </x:c>
      <x:c r="J25" s="4" t="n">
        <x:v>0.41000000000000003</x:v>
      </x:c>
      <x:c r="K25" s="4" t="n">
        <x:v>0.39</x:v>
      </x:c>
      <x:c r="L25" s="4" t="n">
        <x:v>0.45000000000000007</x:v>
      </x:c>
    </x:row>
    <x:row r="26">
      <x:c r="A26" t="str">
        <x:v>Sep 2025</x:v>
      </x:c>
      <x:c r="B26" t="str">
        <x:v>Mobile</x:v>
      </x:c>
      <x:c r="C26" t="str">
        <x:v>5 GB</x:v>
      </x:c>
      <x:c r="D26" t="n">
        <x:v>902</x:v>
      </x:c>
      <x:c r="E26" t="n">
        <x:v>282</x:v>
      </x:c>
      <x:c r="F26" t="n">
        <x:v>63</x:v>
      </x:c>
      <x:c r="G26" s="3" t="n">
        <x:v>52316</x:v>
      </x:c>
      <x:c r="H26" s="3" t="n">
        <x:v>7847.4</x:v>
      </x:c>
      <x:c r="I26" s="3" t="n">
        <x:v>9940.04</x:v>
      </x:c>
      <x:c r="J26" s="4" t="n">
        <x:v>0.4</x:v>
      </x:c>
      <x:c r="K26" s="4" t="n">
        <x:v>0.37</x:v>
      </x:c>
      <x:c r="L26" s="4" t="n">
        <x:v>0.34</x:v>
      </x:c>
    </x:row>
    <x:row r="27">
      <x:c r="A27" t="str">
        <x:v>Sep 2025</x:v>
      </x:c>
      <x:c r="B27" t="str">
        <x:v>Mobile</x:v>
      </x:c>
      <x:c r="C27" t="str">
        <x:v>500 MB</x:v>
      </x:c>
      <x:c r="D27" t="n">
        <x:v>955</x:v>
      </x:c>
      <x:c r="E27" t="n">
        <x:v>313</x:v>
      </x:c>
      <x:c r="F27" t="n">
        <x:v>74</x:v>
      </x:c>
      <x:c r="G27" s="3" t="n">
        <x:v>59210</x:v>
      </x:c>
      <x:c r="H27" s="3" t="n">
        <x:v>8881.5</x:v>
      </x:c>
      <x:c r="I27" s="3" t="n">
        <x:v>11842</x:v>
      </x:c>
      <x:c r="J27" s="4" t="n">
        <x:v>0.42000000000000004</x:v>
      </x:c>
      <x:c r="K27" s="4" t="n">
        <x:v>0.38</x:v>
      </x:c>
      <x:c r="L27" s="4" t="n">
        <x:v>0.38</x:v>
      </x:c>
    </x:row>
    <x:row r="28">
      <x:c r="A28" t="str">
        <x:v>Sep 2025</x:v>
      </x:c>
      <x:c r="B28" t="str">
        <x:v>Mobile</x:v>
      </x:c>
      <x:c r="C28" t="str">
        <x:v>2 GB</x:v>
      </x:c>
      <x:c r="D28" t="n">
        <x:v>1008</x:v>
      </x:c>
      <x:c r="E28" t="n">
        <x:v>344</x:v>
      </x:c>
      <x:c r="F28" t="n">
        <x:v>85</x:v>
      </x:c>
      <x:c r="G28" s="3" t="n">
        <x:v>66528</x:v>
      </x:c>
      <x:c r="H28" s="3" t="n">
        <x:v>9979.199999999999</x:v>
      </x:c>
      <x:c r="I28" s="3" t="n">
        <x:v>13970.88</x:v>
      </x:c>
      <x:c r="J28" s="4" t="n">
        <x:v>0.44</x:v>
      </x:c>
      <x:c r="K28" s="4" t="n">
        <x:v>0.39</x:v>
      </x:c>
      <x:c r="L28" s="4" t="n">
        <x:v>0.42000000000000004</x:v>
      </x:c>
    </x:row>
    <x:row r="29">
      <x:c r="A29" t="str">
        <x:v>Sep 2025</x:v>
      </x:c>
      <x:c r="B29" t="str">
        <x:v>Mobile</x:v>
      </x:c>
      <x:c r="C29" t="str">
        <x:v>5 GB + Tethering</x:v>
      </x:c>
      <x:c r="D29" t="n">
        <x:v>1061</x:v>
      </x:c>
      <x:c r="E29" t="n">
        <x:v>375</x:v>
      </x:c>
      <x:c r="F29" t="n">
        <x:v>96</x:v>
      </x:c>
      <x:c r="G29" s="3" t="n">
        <x:v>74270</x:v>
      </x:c>
      <x:c r="H29" s="3" t="n">
        <x:v>11140.5</x:v>
      </x:c>
      <x:c r="I29" s="3" t="n">
        <x:v>16339.4</x:v>
      </x:c>
      <x:c r="J29" s="4" t="n">
        <x:v>0.26</x:v>
      </x:c>
      <x:c r="K29" s="4" t="n">
        <x:v>0.4</x:v>
      </x:c>
      <x:c r="L29" s="4" t="n">
        <x:v>0.28</x:v>
      </x:c>
    </x:row>
    <x:row r="30">
      <x:c r="A30" t="str">
        <x:v>Sep 2025</x:v>
      </x:c>
      <x:c r="B30" t="str">
        <x:v>Broadband</x:v>
      </x:c>
      <x:c r="C30" t="str">
        <x:v>5 GB</x:v>
      </x:c>
      <x:c r="D30" t="n">
        <x:v>999</x:v>
      </x:c>
      <x:c r="E30" t="n">
        <x:v>325</x:v>
      </x:c>
      <x:c r="F30" t="n">
        <x:v>80</x:v>
      </x:c>
      <x:c r="G30" s="3" t="n">
        <x:v>69930</x:v>
      </x:c>
      <x:c r="H30" s="3" t="n">
        <x:v>10489.5</x:v>
      </x:c>
      <x:c r="I30" s="3" t="n">
        <x:v>15384.6</x:v>
      </x:c>
      <x:c r="J30" s="4" t="n">
        <x:v>0.41000000000000003</x:v>
      </x:c>
      <x:c r="K30" s="4" t="n">
        <x:v>0.39</x:v>
      </x:c>
      <x:c r="L30" s="4" t="n">
        <x:v>0.35000000000000003</x:v>
      </x:c>
    </x:row>
    <x:row r="31">
      <x:c r="A31" t="str">
        <x:v>Sep 2025</x:v>
      </x:c>
      <x:c r="B31" t="str">
        <x:v>Broadband</x:v>
      </x:c>
      <x:c r="C31" t="str">
        <x:v>500 MB</x:v>
      </x:c>
      <x:c r="D31" t="n">
        <x:v>1052</x:v>
      </x:c>
      <x:c r="E31" t="n">
        <x:v>356</x:v>
      </x:c>
      <x:c r="F31" t="n">
        <x:v>91</x:v>
      </x:c>
      <x:c r="G31" s="3" t="n">
        <x:v>77848</x:v>
      </x:c>
      <x:c r="H31" s="3" t="n">
        <x:v>11677.199999999999</x:v>
      </x:c>
      <x:c r="I31" s="3" t="n">
        <x:v>17905.039999999997</x:v>
      </x:c>
      <x:c r="J31" s="4" t="n">
        <x:v>0.43000000000000005</x:v>
      </x:c>
      <x:c r="K31" s="4" t="n">
        <x:v>0.4</x:v>
      </x:c>
      <x:c r="L31" s="4" t="n">
        <x:v>0.39</x:v>
      </x:c>
    </x:row>
    <x:row r="32">
      <x:c r="A32" t="str">
        <x:v>Sep 2025</x:v>
      </x:c>
      <x:c r="B32" t="str">
        <x:v>Broadband</x:v>
      </x:c>
      <x:c r="C32" t="str">
        <x:v>2 GB</x:v>
      </x:c>
      <x:c r="D32" t="n">
        <x:v>1105</x:v>
      </x:c>
      <x:c r="E32" t="n">
        <x:v>387</x:v>
      </x:c>
      <x:c r="F32" t="n">
        <x:v>102</x:v>
      </x:c>
      <x:c r="G32" s="3" t="n">
        <x:v>86190</x:v>
      </x:c>
      <x:c r="H32" s="3" t="n">
        <x:v>12928.5</x:v>
      </x:c>
      <x:c r="I32" s="3" t="n">
        <x:v>20685.6</x:v>
      </x:c>
      <x:c r="J32" s="4" t="n">
        <x:v>0.45</x:v>
      </x:c>
      <x:c r="K32" s="4" t="n">
        <x:v>0.41000000000000003</x:v>
      </x:c>
      <x:c r="L32" s="4" t="n">
        <x:v>0.43000000000000005</x:v>
      </x:c>
    </x:row>
    <x:row r="33">
      <x:c r="A33" t="str">
        <x:v>Sep 2025</x:v>
      </x:c>
      <x:c r="B33" t="str">
        <x:v>Broadband</x:v>
      </x:c>
      <x:c r="C33" t="str">
        <x:v>5 GB + Tethering</x:v>
      </x:c>
      <x:c r="D33" t="n">
        <x:v>1158</x:v>
      </x:c>
      <x:c r="E33" t="n">
        <x:v>418</x:v>
      </x:c>
      <x:c r="F33" t="n">
        <x:v>113</x:v>
      </x:c>
      <x:c r="G33" s="3" t="n">
        <x:v>94956</x:v>
      </x:c>
      <x:c r="H33" s="3" t="n">
        <x:v>14243.4</x:v>
      </x:c>
      <x:c r="I33" s="3" t="n">
        <x:v>14243.4</x:v>
      </x:c>
      <x:c r="J33" s="4" t="n">
        <x:v>0.27</x:v>
      </x:c>
      <x:c r="K33" s="4" t="n">
        <x:v>0.42000000000000004</x:v>
      </x:c>
      <x:c r="L33" s="4" t="n">
        <x:v>0.29000000000000004</x:v>
      </x:c>
    </x:row>
    <x:row r="34">
      <x:c r="A34" t="str">
        <x:v>Sep 2025</x:v>
      </x:c>
      <x:c r="B34" t="str">
        <x:v>Voice</x:v>
      </x:c>
      <x:c r="C34" t="str">
        <x:v>5 GB</x:v>
      </x:c>
      <x:c r="D34" t="n">
        <x:v>1096</x:v>
      </x:c>
      <x:c r="E34" t="n">
        <x:v>368</x:v>
      </x:c>
      <x:c r="F34" t="n">
        <x:v>97</x:v>
      </x:c>
      <x:c r="G34" s="3" t="n">
        <x:v>89872</x:v>
      </x:c>
      <x:c r="H34" s="3" t="n">
        <x:v>13480.8</x:v>
      </x:c>
      <x:c r="I34" s="3" t="n">
        <x:v>13480.8</x:v>
      </x:c>
      <x:c r="J34" s="4" t="n">
        <x:v>0.42000000000000004</x:v>
      </x:c>
      <x:c r="K34" s="4" t="n">
        <x:v>0.41000000000000003</x:v>
      </x:c>
      <x:c r="L34" s="4" t="n">
        <x:v>0.36000000000000004</x:v>
      </x:c>
    </x:row>
    <x:row r="35">
      <x:c r="A35" t="str">
        <x:v>Sep 2025</x:v>
      </x:c>
      <x:c r="B35" t="str">
        <x:v>Voice</x:v>
      </x:c>
      <x:c r="C35" t="str">
        <x:v>500 MB</x:v>
      </x:c>
      <x:c r="D35" t="n">
        <x:v>1149</x:v>
      </x:c>
      <x:c r="E35" t="n">
        <x:v>399</x:v>
      </x:c>
      <x:c r="F35" t="n">
        <x:v>108</x:v>
      </x:c>
      <x:c r="G35" s="3" t="n">
        <x:v>98814</x:v>
      </x:c>
      <x:c r="H35" s="3" t="n">
        <x:v>14822.099999999999</x:v>
      </x:c>
      <x:c r="I35" s="3" t="n">
        <x:v>15810.24</x:v>
      </x:c>
      <x:c r="J35" s="4" t="n">
        <x:v>0.44</x:v>
      </x:c>
      <x:c r="K35" s="4" t="n">
        <x:v>0.42000000000000004</x:v>
      </x:c>
      <x:c r="L35" s="4" t="n">
        <x:v>0.4</x:v>
      </x:c>
    </x:row>
    <x:row r="36">
      <x:c r="A36" t="str">
        <x:v>Sep 2025</x:v>
      </x:c>
      <x:c r="B36" t="str">
        <x:v>Voice</x:v>
      </x:c>
      <x:c r="C36" t="str">
        <x:v>2 GB</x:v>
      </x:c>
      <x:c r="D36" t="n">
        <x:v>1202</x:v>
      </x:c>
      <x:c r="E36" t="n">
        <x:v>430</x:v>
      </x:c>
      <x:c r="F36" t="n">
        <x:v>119</x:v>
      </x:c>
      <x:c r="G36" s="3" t="n">
        <x:v>108180</x:v>
      </x:c>
      <x:c r="H36" s="3" t="n">
        <x:v>16227</x:v>
      </x:c>
      <x:c r="I36" s="3" t="n">
        <x:v>18390.6</x:v>
      </x:c>
      <x:c r="J36" s="4" t="n">
        <x:v>0.26</x:v>
      </x:c>
      <x:c r="K36" s="4" t="n">
        <x:v>0.43000000000000005</x:v>
      </x:c>
      <x:c r="L36" s="4" t="n">
        <x:v>0.44000000000000006</x:v>
      </x:c>
    </x:row>
    <x:row r="37">
      <x:c r="A37" t="str">
        <x:v>Sep 2025</x:v>
      </x:c>
      <x:c r="B37" t="str">
        <x:v>Voice</x:v>
      </x:c>
      <x:c r="C37" t="str">
        <x:v>5 GB + Tethering</x:v>
      </x:c>
      <x:c r="D37" t="n">
        <x:v>1255</x:v>
      </x:c>
      <x:c r="E37" t="n">
        <x:v>461</x:v>
      </x:c>
      <x:c r="F37" t="n">
        <x:v>35</x:v>
      </x:c>
      <x:c r="G37" s="3" t="n">
        <x:v>117970</x:v>
      </x:c>
      <x:c r="H37" s="3" t="n">
        <x:v>17695.5</x:v>
      </x:c>
      <x:c r="I37" s="3" t="n">
        <x:v>21234.6</x:v>
      </x:c>
      <x:c r="J37" s="4" t="n">
        <x:v>0.28</x:v>
      </x:c>
      <x:c r="K37" s="4" t="n">
        <x:v>0.44000000000000006</x:v>
      </x:c>
      <x:c r="L37" s="4" t="n">
        <x:v>0.30000000000000004</x:v>
      </x:c>
    </x:row>
    <x:row r="38">
      <x:c r="A38" t="str">
        <x:v>Oct 2025</x:v>
      </x:c>
      <x:c r="B38" t="str">
        <x:v>Mobile</x:v>
      </x:c>
      <x:c r="C38" t="str">
        <x:v>5 GB</x:v>
      </x:c>
      <x:c r="D38" t="n">
        <x:v>963</x:v>
      </x:c>
      <x:c r="E38" t="n">
        <x:v>353</x:v>
      </x:c>
      <x:c r="F38" t="n">
        <x:v>82</x:v>
      </x:c>
      <x:c r="G38" s="3" t="n">
        <x:v>55854</x:v>
      </x:c>
      <x:c r="H38" s="3" t="n">
        <x:v>6702.48</x:v>
      </x:c>
      <x:c r="I38" s="3" t="n">
        <x:v>8936.64</x:v>
      </x:c>
      <x:c r="J38" s="4" t="n">
        <x:v>0.27</x:v>
      </x:c>
      <x:c r="K38" s="4" t="n">
        <x:v>0.42000000000000004</x:v>
      </x:c>
      <x:c r="L38" s="4" t="n">
        <x:v>0.37</x:v>
      </x:c>
    </x:row>
    <x:row r="39">
      <x:c r="A39" t="str">
        <x:v>Oct 2025</x:v>
      </x:c>
      <x:c r="B39" t="str">
        <x:v>Mobile</x:v>
      </x:c>
      <x:c r="C39" t="str">
        <x:v>500 MB</x:v>
      </x:c>
      <x:c r="D39" t="n">
        <x:v>1016</x:v>
      </x:c>
      <x:c r="E39" t="n">
        <x:v>384</x:v>
      </x:c>
      <x:c r="F39" t="n">
        <x:v>93</x:v>
      </x:c>
      <x:c r="G39" s="3" t="n">
        <x:v>62992</x:v>
      </x:c>
      <x:c r="H39" s="3" t="n">
        <x:v>7559.04</x:v>
      </x:c>
      <x:c r="I39" s="3" t="n">
        <x:v>10708.64</x:v>
      </x:c>
      <x:c r="J39" s="4" t="n">
        <x:v>0.29000000000000004</x:v>
      </x:c>
      <x:c r="K39" s="4" t="n">
        <x:v>0.43000000000000005</x:v>
      </x:c>
      <x:c r="L39" s="4" t="n">
        <x:v>0.41000000000000003</x:v>
      </x:c>
    </x:row>
    <x:row r="40">
      <x:c r="A40" t="str">
        <x:v>Oct 2025</x:v>
      </x:c>
      <x:c r="B40" t="str">
        <x:v>Mobile</x:v>
      </x:c>
      <x:c r="C40" t="str">
        <x:v>2 GB</x:v>
      </x:c>
      <x:c r="D40" t="n">
        <x:v>1069</x:v>
      </x:c>
      <x:c r="E40" t="n">
        <x:v>415</x:v>
      </x:c>
      <x:c r="F40" t="n">
        <x:v>104</x:v>
      </x:c>
      <x:c r="G40" s="3" t="n">
        <x:v>70554</x:v>
      </x:c>
      <x:c r="H40" s="3" t="n">
        <x:v>8466.48</x:v>
      </x:c>
      <x:c r="I40" s="3" t="n">
        <x:v>12699.72</x:v>
      </x:c>
      <x:c r="J40" s="4" t="n">
        <x:v>0.31</x:v>
      </x:c>
      <x:c r="K40" s="4" t="n">
        <x:v>0.44000000000000006</x:v>
      </x:c>
      <x:c r="L40" s="4" t="n">
        <x:v>0.45000000000000007</x:v>
      </x:c>
    </x:row>
    <x:row r="41">
      <x:c r="A41" t="str">
        <x:v>Oct 2025</x:v>
      </x:c>
      <x:c r="B41" t="str">
        <x:v>Mobile</x:v>
      </x:c>
      <x:c r="C41" t="str">
        <x:v>5 GB + Tethering</x:v>
      </x:c>
      <x:c r="D41" t="n">
        <x:v>1122</x:v>
      </x:c>
      <x:c r="E41" t="n">
        <x:v>446</x:v>
      </x:c>
      <x:c r="F41" t="n">
        <x:v>115</x:v>
      </x:c>
      <x:c r="G41" s="3" t="n">
        <x:v>78540</x:v>
      </x:c>
      <x:c r="H41" s="3" t="n">
        <x:v>9424.8</x:v>
      </x:c>
      <x:c r="I41" s="3" t="n">
        <x:v>14922.6</x:v>
      </x:c>
      <x:c r="J41" s="4" t="n">
        <x:v>0.33</x:v>
      </x:c>
      <x:c r="K41" s="4" t="n">
        <x:v>0.45</x:v>
      </x:c>
      <x:c r="L41" s="4" t="n">
        <x:v>0.31000000000000005</x:v>
      </x:c>
    </x:row>
    <x:row r="42">
      <x:c r="A42" t="str">
        <x:v>Oct 2025</x:v>
      </x:c>
      <x:c r="B42" t="str">
        <x:v>Broadband</x:v>
      </x:c>
      <x:c r="C42" t="str">
        <x:v>5 GB</x:v>
      </x:c>
      <x:c r="D42" t="n">
        <x:v>1060</x:v>
      </x:c>
      <x:c r="E42" t="n">
        <x:v>396</x:v>
      </x:c>
      <x:c r="F42" t="n">
        <x:v>99</x:v>
      </x:c>
      <x:c r="G42" s="3" t="n">
        <x:v>74200</x:v>
      </x:c>
      <x:c r="H42" s="3" t="n">
        <x:v>8904</x:v>
      </x:c>
      <x:c r="I42" s="3" t="n">
        <x:v>14098</x:v>
      </x:c>
      <x:c r="J42" s="4" t="n">
        <x:v>0.28</x:v>
      </x:c>
      <x:c r="K42" s="4" t="n">
        <x:v>0.44000000000000006</x:v>
      </x:c>
      <x:c r="L42" s="4" t="n">
        <x:v>0.38</x:v>
      </x:c>
    </x:row>
    <x:row r="43">
      <x:c r="A43" t="str">
        <x:v>Oct 2025</x:v>
      </x:c>
      <x:c r="B43" t="str">
        <x:v>Broadband</x:v>
      </x:c>
      <x:c r="C43" t="str">
        <x:v>500 MB</x:v>
      </x:c>
      <x:c r="D43" t="n">
        <x:v>1113</x:v>
      </x:c>
      <x:c r="E43" t="n">
        <x:v>427</x:v>
      </x:c>
      <x:c r="F43" t="n">
        <x:v>110</x:v>
      </x:c>
      <x:c r="G43" s="3" t="n">
        <x:v>82362</x:v>
      </x:c>
      <x:c r="H43" s="3" t="n">
        <x:v>9883.44</x:v>
      </x:c>
      <x:c r="I43" s="3" t="n">
        <x:v>16472.4</x:v>
      </x:c>
      <x:c r="J43" s="4" t="n">
        <x:v>0.3</x:v>
      </x:c>
      <x:c r="K43" s="4" t="n">
        <x:v>0.45</x:v>
      </x:c>
      <x:c r="L43" s="4" t="n">
        <x:v>0.42000000000000004</x:v>
      </x:c>
    </x:row>
    <x:row r="44">
      <x:c r="A44" t="str">
        <x:v>Oct 2025</x:v>
      </x:c>
      <x:c r="B44" t="str">
        <x:v>Broadband</x:v>
      </x:c>
      <x:c r="C44" t="str">
        <x:v>2 GB</x:v>
      </x:c>
      <x:c r="D44" t="n">
        <x:v>1166</x:v>
      </x:c>
      <x:c r="E44" t="n">
        <x:v>458</x:v>
      </x:c>
      <x:c r="F44" t="n">
        <x:v>26</x:v>
      </x:c>
      <x:c r="G44" s="3" t="n">
        <x:v>90948</x:v>
      </x:c>
      <x:c r="H44" s="3" t="n">
        <x:v>10913.76</x:v>
      </x:c>
      <x:c r="I44" s="3" t="n">
        <x:v>19099.079999999998</x:v>
      </x:c>
      <x:c r="J44" s="4" t="n">
        <x:v>0.32</x:v>
      </x:c>
      <x:c r="K44" s="4" t="n">
        <x:v>0.27</x:v>
      </x:c>
      <x:c r="L44" s="4" t="n">
        <x:v>0.28</x:v>
      </x:c>
    </x:row>
    <x:row r="45">
      <x:c r="A45" t="str">
        <x:v>Oct 2025</x:v>
      </x:c>
      <x:c r="B45" t="str">
        <x:v>Broadband</x:v>
      </x:c>
      <x:c r="C45" t="str">
        <x:v>5 GB + Tethering</x:v>
      </x:c>
      <x:c r="D45" t="n">
        <x:v>1219</x:v>
      </x:c>
      <x:c r="E45" t="n">
        <x:v>489</x:v>
      </x:c>
      <x:c r="F45" t="n">
        <x:v>37</x:v>
      </x:c>
      <x:c r="G45" s="3" t="n">
        <x:v>99958</x:v>
      </x:c>
      <x:c r="H45" s="3" t="n">
        <x:v>11994.96</x:v>
      </x:c>
      <x:c r="I45" s="3" t="n">
        <x:v>21990.76</x:v>
      </x:c>
      <x:c r="J45" s="4" t="n">
        <x:v>0.34</x:v>
      </x:c>
      <x:c r="K45" s="4" t="n">
        <x:v>0.28</x:v>
      </x:c>
      <x:c r="L45" s="4" t="n">
        <x:v>0.32</x:v>
      </x:c>
    </x:row>
    <x:row r="46">
      <x:c r="A46" t="str">
        <x:v>Oct 2025</x:v>
      </x:c>
      <x:c r="B46" t="str">
        <x:v>Voice</x:v>
      </x:c>
      <x:c r="C46" t="str">
        <x:v>5 GB</x:v>
      </x:c>
      <x:c r="D46" t="n">
        <x:v>1157</x:v>
      </x:c>
      <x:c r="E46" t="n">
        <x:v>439</x:v>
      </x:c>
      <x:c r="F46" t="n">
        <x:v>116</x:v>
      </x:c>
      <x:c r="G46" s="3" t="n">
        <x:v>94874</x:v>
      </x:c>
      <x:c r="H46" s="3" t="n">
        <x:v>11384.88</x:v>
      </x:c>
      <x:c r="I46" s="3" t="n">
        <x:v>20872.28</x:v>
      </x:c>
      <x:c r="J46" s="4" t="n">
        <x:v>0.29000000000000004</x:v>
      </x:c>
      <x:c r="K46" s="4" t="n">
        <x:v>0.27</x:v>
      </x:c>
      <x:c r="L46" s="4" t="n">
        <x:v>0.39</x:v>
      </x:c>
    </x:row>
    <x:row r="47">
      <x:c r="A47" t="str">
        <x:v>Oct 2025</x:v>
      </x:c>
      <x:c r="B47" t="str">
        <x:v>Voice</x:v>
      </x:c>
      <x:c r="C47" t="str">
        <x:v>500 MB</x:v>
      </x:c>
      <x:c r="D47" t="n">
        <x:v>1210</x:v>
      </x:c>
      <x:c r="E47" t="n">
        <x:v>470</x:v>
      </x:c>
      <x:c r="F47" t="n">
        <x:v>32</x:v>
      </x:c>
      <x:c r="G47" s="3" t="n">
        <x:v>104060</x:v>
      </x:c>
      <x:c r="H47" s="3" t="n">
        <x:v>12487.199999999999</x:v>
      </x:c>
      <x:c r="I47" s="3" t="n">
        <x:v>23933.8</x:v>
      </x:c>
      <x:c r="J47" s="4" t="n">
        <x:v>0.31</x:v>
      </x:c>
      <x:c r="K47" s="4" t="n">
        <x:v>0.28</x:v>
      </x:c>
      <x:c r="L47" s="4" t="n">
        <x:v>0.43000000000000005</x:v>
      </x:c>
    </x:row>
    <x:row r="48">
      <x:c r="A48" t="str">
        <x:v>Oct 2025</x:v>
      </x:c>
      <x:c r="B48" t="str">
        <x:v>Voice</x:v>
      </x:c>
      <x:c r="C48" t="str">
        <x:v>2 GB</x:v>
      </x:c>
      <x:c r="D48" t="n">
        <x:v>1263</x:v>
      </x:c>
      <x:c r="E48" t="n">
        <x:v>501</x:v>
      </x:c>
      <x:c r="F48" t="n">
        <x:v>43</x:v>
      </x:c>
      <x:c r="G48" s="3" t="n">
        <x:v>113670</x:v>
      </x:c>
      <x:c r="H48" s="3" t="n">
        <x:v>13640.4</x:v>
      </x:c>
      <x:c r="I48" s="3" t="n">
        <x:v>27280.8</x:v>
      </x:c>
      <x:c r="J48" s="4" t="n">
        <x:v>0.33</x:v>
      </x:c>
      <x:c r="K48" s="4" t="n">
        <x:v>0.29000000000000004</x:v>
      </x:c>
      <x:c r="L48" s="4" t="n">
        <x:v>0.29000000000000004</x:v>
      </x:c>
    </x:row>
    <x:row r="49">
      <x:c r="A49" t="str">
        <x:v>Oct 2025</x:v>
      </x:c>
      <x:c r="B49" t="str">
        <x:v>Voice</x:v>
      </x:c>
      <x:c r="C49" t="str">
        <x:v>5 GB + Tethering</x:v>
      </x:c>
      <x:c r="D49" t="n">
        <x:v>1316</x:v>
      </x:c>
      <x:c r="E49" t="n">
        <x:v>532</x:v>
      </x:c>
      <x:c r="F49" t="n">
        <x:v>54</x:v>
      </x:c>
      <x:c r="G49" s="3" t="n">
        <x:v>123704</x:v>
      </x:c>
      <x:c r="H49" s="3" t="n">
        <x:v>14844.48</x:v>
      </x:c>
      <x:c r="I49" s="3" t="n">
        <x:v>18555.6</x:v>
      </x:c>
      <x:c r="J49" s="4" t="n">
        <x:v>0.35</x:v>
      </x:c>
      <x:c r="K49" s="4" t="n">
        <x:v>0.30000000000000004</x:v>
      </x:c>
      <x:c r="L49" s="4" t="n">
        <x:v>0.33</x:v>
      </x:c>
    </x:row>
    <x:row r="50">
      <x:c r="A50" t="str">
        <x:v>Nov 2025</x:v>
      </x:c>
      <x:c r="B50" t="str">
        <x:v>Mobile</x:v>
      </x:c>
      <x:c r="C50" t="str">
        <x:v>5 GB</x:v>
      </x:c>
      <x:c r="D50" t="n">
        <x:v>1024</x:v>
      </x:c>
      <x:c r="E50" t="n">
        <x:v>424</x:v>
      </x:c>
      <x:c r="F50" t="n">
        <x:v>101</x:v>
      </x:c>
      <x:c r="G50" s="3" t="n">
        <x:v>59392</x:v>
      </x:c>
      <x:c r="H50" s="3" t="n">
        <x:v>8017.92</x:v>
      </x:c>
      <x:c r="I50" s="3" t="n">
        <x:v>13660.16</x:v>
      </x:c>
      <x:c r="J50" s="4" t="n">
        <x:v>0.34</x:v>
      </x:c>
      <x:c r="K50" s="4" t="n">
        <x:v>0.28</x:v>
      </x:c>
      <x:c r="L50" s="4" t="n">
        <x:v>0.4</x:v>
      </x:c>
    </x:row>
    <x:row r="51">
      <x:c r="A51" t="str">
        <x:v>Nov 2025</x:v>
      </x:c>
      <x:c r="B51" t="str">
        <x:v>Mobile</x:v>
      </x:c>
      <x:c r="C51" t="str">
        <x:v>500 MB</x:v>
      </x:c>
      <x:c r="D51" t="n">
        <x:v>1077</x:v>
      </x:c>
      <x:c r="E51" t="n">
        <x:v>455</x:v>
      </x:c>
      <x:c r="F51" t="n">
        <x:v>112</x:v>
      </x:c>
      <x:c r="G51" s="3" t="n">
        <x:v>66774</x:v>
      </x:c>
      <x:c r="H51" s="3" t="n">
        <x:v>9014.49</x:v>
      </x:c>
      <x:c r="I51" s="3" t="n">
        <x:v>16025.76</x:v>
      </x:c>
      <x:c r="J51" s="4" t="n">
        <x:v>0.36</x:v>
      </x:c>
      <x:c r="K51" s="4" t="n">
        <x:v>0.29000000000000004</x:v>
      </x:c>
      <x:c r="L51" s="4" t="n">
        <x:v>0.44000000000000006</x:v>
      </x:c>
    </x:row>
    <x:row r="52">
      <x:c r="A52" t="str">
        <x:v>Nov 2025</x:v>
      </x:c>
      <x:c r="B52" t="str">
        <x:v>Mobile</x:v>
      </x:c>
      <x:c r="C52" t="str">
        <x:v>2 GB</x:v>
      </x:c>
      <x:c r="D52" t="n">
        <x:v>1130</x:v>
      </x:c>
      <x:c r="E52" t="n">
        <x:v>486</x:v>
      </x:c>
      <x:c r="F52" t="n">
        <x:v>28</x:v>
      </x:c>
      <x:c r="G52" s="3" t="n">
        <x:v>74580</x:v>
      </x:c>
      <x:c r="H52" s="3" t="n">
        <x:v>10068.300000000001</x:v>
      </x:c>
      <x:c r="I52" s="3" t="n">
        <x:v>11187</x:v>
      </x:c>
      <x:c r="J52" s="4" t="n">
        <x:v>0.38</x:v>
      </x:c>
      <x:c r="K52" s="4" t="n">
        <x:v>0.30000000000000004</x:v>
      </x:c>
      <x:c r="L52" s="4" t="n">
        <x:v>0.30000000000000004</x:v>
      </x:c>
    </x:row>
    <x:row r="53">
      <x:c r="A53" t="str">
        <x:v>Nov 2025</x:v>
      </x:c>
      <x:c r="B53" t="str">
        <x:v>Mobile</x:v>
      </x:c>
      <x:c r="C53" t="str">
        <x:v>5 GB + Tethering</x:v>
      </x:c>
      <x:c r="D53" t="n">
        <x:v>1183</x:v>
      </x:c>
      <x:c r="E53" t="n">
        <x:v>517</x:v>
      </x:c>
      <x:c r="F53" t="n">
        <x:v>39</x:v>
      </x:c>
      <x:c r="G53" s="3" t="n">
        <x:v>82810</x:v>
      </x:c>
      <x:c r="H53" s="3" t="n">
        <x:v>11179.35</x:v>
      </x:c>
      <x:c r="I53" s="3" t="n">
        <x:v>13249.6</x:v>
      </x:c>
      <x:c r="J53" s="4" t="n">
        <x:v>0.4</x:v>
      </x:c>
      <x:c r="K53" s="4" t="n">
        <x:v>0.31</x:v>
      </x:c>
      <x:c r="L53" s="4" t="n">
        <x:v>0.34</x:v>
      </x:c>
    </x:row>
    <x:row r="54">
      <x:c r="A54" t="str">
        <x:v>Nov 2025</x:v>
      </x:c>
      <x:c r="B54" t="str">
        <x:v>Broadband</x:v>
      </x:c>
      <x:c r="C54" t="str">
        <x:v>5 GB</x:v>
      </x:c>
      <x:c r="D54" t="n">
        <x:v>1121</x:v>
      </x:c>
      <x:c r="E54" t="n">
        <x:v>467</x:v>
      </x:c>
      <x:c r="F54" t="n">
        <x:v>118</x:v>
      </x:c>
      <x:c r="G54" s="3" t="n">
        <x:v>78470</x:v>
      </x:c>
      <x:c r="H54" s="3" t="n">
        <x:v>10593.45</x:v>
      </x:c>
      <x:c r="I54" s="3" t="n">
        <x:v>12555.2</x:v>
      </x:c>
      <x:c r="J54" s="4" t="n">
        <x:v>0.35</x:v>
      </x:c>
      <x:c r="K54" s="4" t="n">
        <x:v>0.30000000000000004</x:v>
      </x:c>
      <x:c r="L54" s="4" t="n">
        <x:v>0.41000000000000003</x:v>
      </x:c>
    </x:row>
    <x:row r="55">
      <x:c r="A55" t="str">
        <x:v>Nov 2025</x:v>
      </x:c>
      <x:c r="B55" t="str">
        <x:v>Broadband</x:v>
      </x:c>
      <x:c r="C55" t="str">
        <x:v>500 MB</x:v>
      </x:c>
      <x:c r="D55" t="n">
        <x:v>1174</x:v>
      </x:c>
      <x:c r="E55" t="n">
        <x:v>498</x:v>
      </x:c>
      <x:c r="F55" t="n">
        <x:v>34</x:v>
      </x:c>
      <x:c r="G55" s="3" t="n">
        <x:v>86876</x:v>
      </x:c>
      <x:c r="H55" s="3" t="n">
        <x:v>11728.26</x:v>
      </x:c>
      <x:c r="I55" s="3" t="n">
        <x:v>14768.919999999998</x:v>
      </x:c>
      <x:c r="J55" s="4" t="n">
        <x:v>0.37</x:v>
      </x:c>
      <x:c r="K55" s="4" t="n">
        <x:v>0.31</x:v>
      </x:c>
      <x:c r="L55" s="4" t="n">
        <x:v>0.45000000000000007</x:v>
      </x:c>
    </x:row>
    <x:row r="56">
      <x:c r="A56" t="str">
        <x:v>Nov 2025</x:v>
      </x:c>
      <x:c r="B56" t="str">
        <x:v>Broadband</x:v>
      </x:c>
      <x:c r="C56" t="str">
        <x:v>2 GB</x:v>
      </x:c>
      <x:c r="D56" t="n">
        <x:v>1227</x:v>
      </x:c>
      <x:c r="E56" t="n">
        <x:v>529</x:v>
      </x:c>
      <x:c r="F56" t="n">
        <x:v>45</x:v>
      </x:c>
      <x:c r="G56" s="3" t="n">
        <x:v>95706</x:v>
      </x:c>
      <x:c r="H56" s="3" t="n">
        <x:v>12920.310000000001</x:v>
      </x:c>
      <x:c r="I56" s="3" t="n">
        <x:v>17227.079999999998</x:v>
      </x:c>
      <x:c r="J56" s="4" t="n">
        <x:v>0.39</x:v>
      </x:c>
      <x:c r="K56" s="4" t="n">
        <x:v>0.32</x:v>
      </x:c>
      <x:c r="L56" s="4" t="n">
        <x:v>0.31000000000000005</x:v>
      </x:c>
    </x:row>
    <x:row r="57">
      <x:c r="A57" t="str">
        <x:v>Nov 2025</x:v>
      </x:c>
      <x:c r="B57" t="str">
        <x:v>Broadband</x:v>
      </x:c>
      <x:c r="C57" t="str">
        <x:v>5 GB + Tethering</x:v>
      </x:c>
      <x:c r="D57" t="n">
        <x:v>1280</x:v>
      </x:c>
      <x:c r="E57" t="n">
        <x:v>150</x:v>
      </x:c>
      <x:c r="F57" t="n">
        <x:v>56</x:v>
      </x:c>
      <x:c r="G57" s="3" t="n">
        <x:v>104960</x:v>
      </x:c>
      <x:c r="H57" s="3" t="n">
        <x:v>14169.6</x:v>
      </x:c>
      <x:c r="I57" s="3" t="n">
        <x:v>19942.4</x:v>
      </x:c>
      <x:c r="J57" s="4" t="n">
        <x:v>0.41000000000000003</x:v>
      </x:c>
      <x:c r="K57" s="4" t="n">
        <x:v>0.33</x:v>
      </x:c>
      <x:c r="L57" s="4" t="n">
        <x:v>0.35000000000000003</x:v>
      </x:c>
    </x:row>
    <x:row r="58">
      <x:c r="A58" t="str">
        <x:v>Nov 2025</x:v>
      </x:c>
      <x:c r="B58" t="str">
        <x:v>Voice</x:v>
      </x:c>
      <x:c r="C58" t="str">
        <x:v>5 GB</x:v>
      </x:c>
      <x:c r="D58" t="n">
        <x:v>1218</x:v>
      </x:c>
      <x:c r="E58" t="n">
        <x:v>510</x:v>
      </x:c>
      <x:c r="F58" t="n">
        <x:v>40</x:v>
      </x:c>
      <x:c r="G58" s="3" t="n">
        <x:v>99876</x:v>
      </x:c>
      <x:c r="H58" s="3" t="n">
        <x:v>13483.26</x:v>
      </x:c>
      <x:c r="I58" s="3" t="n">
        <x:v>18976.44</x:v>
      </x:c>
      <x:c r="J58" s="4" t="n">
        <x:v>0.36</x:v>
      </x:c>
      <x:c r="K58" s="4" t="n">
        <x:v>0.32</x:v>
      </x:c>
      <x:c r="L58" s="4" t="n">
        <x:v>0.42000000000000004</x:v>
      </x:c>
    </x:row>
    <x:row r="59">
      <x:c r="A59" t="str">
        <x:v>Nov 2025</x:v>
      </x:c>
      <x:c r="B59" t="str">
        <x:v>Voice</x:v>
      </x:c>
      <x:c r="C59" t="str">
        <x:v>500 MB</x:v>
      </x:c>
      <x:c r="D59" t="n">
        <x:v>1271</x:v>
      </x:c>
      <x:c r="E59" t="n">
        <x:v>541</x:v>
      </x:c>
      <x:c r="F59" t="n">
        <x:v>51</x:v>
      </x:c>
      <x:c r="G59" s="3" t="n">
        <x:v>109306</x:v>
      </x:c>
      <x:c r="H59" s="3" t="n">
        <x:v>14756.310000000001</x:v>
      </x:c>
      <x:c r="I59" s="3" t="n">
        <x:v>21861.2</x:v>
      </x:c>
      <x:c r="J59" s="4" t="n">
        <x:v>0.38</x:v>
      </x:c>
      <x:c r="K59" s="4" t="n">
        <x:v>0.33</x:v>
      </x:c>
      <x:c r="L59" s="4" t="n">
        <x:v>0.28</x:v>
      </x:c>
    </x:row>
    <x:row r="60">
      <x:c r="A60" t="str">
        <x:v>Nov 2025</x:v>
      </x:c>
      <x:c r="B60" t="str">
        <x:v>Voice</x:v>
      </x:c>
      <x:c r="C60" t="str">
        <x:v>2 GB</x:v>
      </x:c>
      <x:c r="D60" t="n">
        <x:v>1324</x:v>
      </x:c>
      <x:c r="E60" t="n">
        <x:v>162</x:v>
      </x:c>
      <x:c r="F60" t="n">
        <x:v>62</x:v>
      </x:c>
      <x:c r="G60" s="3" t="n">
        <x:v>119160</x:v>
      </x:c>
      <x:c r="H60" s="3" t="n">
        <x:v>16086.6</x:v>
      </x:c>
      <x:c r="I60" s="3" t="n">
        <x:v>25023.6</x:v>
      </x:c>
      <x:c r="J60" s="4" t="n">
        <x:v>0.4</x:v>
      </x:c>
      <x:c r="K60" s="4" t="n">
        <x:v>0.34</x:v>
      </x:c>
      <x:c r="L60" s="4" t="n">
        <x:v>0.32</x:v>
      </x:c>
    </x:row>
    <x:row r="61">
      <x:c r="A61" t="str">
        <x:v>Nov 2025</x:v>
      </x:c>
      <x:c r="B61" t="str">
        <x:v>Voice</x:v>
      </x:c>
      <x:c r="C61" t="str">
        <x:v>5 GB + Tethering</x:v>
      </x:c>
      <x:c r="D61" t="n">
        <x:v>1377</x:v>
      </x:c>
      <x:c r="E61" t="n">
        <x:v>193</x:v>
      </x:c>
      <x:c r="F61" t="n">
        <x:v>73</x:v>
      </x:c>
      <x:c r="G61" s="3" t="n">
        <x:v>129438</x:v>
      </x:c>
      <x:c r="H61" s="3" t="n">
        <x:v>17474.13</x:v>
      </x:c>
      <x:c r="I61" s="3" t="n">
        <x:v>28476.36</x:v>
      </x:c>
      <x:c r="J61" s="4" t="n">
        <x:v>0.42000000000000004</x:v>
      </x:c>
      <x:c r="K61" s="4" t="n">
        <x:v>0.35000000000000003</x:v>
      </x:c>
      <x:c r="L61" s="4" t="n">
        <x:v>0.36000000000000004</x:v>
      </x:c>
    </x:row>
    <x:row r="62">
      <x:c r="A62" t="str">
        <x:v>Dec 2025</x:v>
      </x:c>
      <x:c r="B62" t="str">
        <x:v>Mobile</x:v>
      </x:c>
      <x:c r="C62" t="str">
        <x:v>5 GB</x:v>
      </x:c>
      <x:c r="D62" t="n">
        <x:v>1085</x:v>
      </x:c>
      <x:c r="E62" t="n">
        <x:v>495</x:v>
      </x:c>
      <x:c r="F62" t="n">
        <x:v>25</x:v>
      </x:c>
      <x:c r="G62" s="3" t="n">
        <x:v>62930</x:v>
      </x:c>
      <x:c r="H62" s="3" t="n">
        <x:v>9439.5</x:v>
      </x:c>
      <x:c r="I62" s="3" t="n">
        <x:v>12586</x:v>
      </x:c>
      <x:c r="J62" s="4" t="n">
        <x:v>0.41000000000000003</x:v>
      </x:c>
      <x:c r="K62" s="4" t="n">
        <x:v>0.33</x:v>
      </x:c>
      <x:c r="L62" s="4" t="n">
        <x:v>0.43000000000000005</x:v>
      </x:c>
    </x:row>
    <x:row r="63">
      <x:c r="A63" t="str">
        <x:v>Dec 2025</x:v>
      </x:c>
      <x:c r="B63" t="str">
        <x:v>Mobile</x:v>
      </x:c>
      <x:c r="C63" t="str">
        <x:v>500 MB</x:v>
      </x:c>
      <x:c r="D63" t="n">
        <x:v>1138</x:v>
      </x:c>
      <x:c r="E63" t="n">
        <x:v>526</x:v>
      </x:c>
      <x:c r="F63" t="n">
        <x:v>36</x:v>
      </x:c>
      <x:c r="G63" s="3" t="n">
        <x:v>70556</x:v>
      </x:c>
      <x:c r="H63" s="3" t="n">
        <x:v>10583.4</x:v>
      </x:c>
      <x:c r="I63" s="3" t="n">
        <x:v>14816.76</x:v>
      </x:c>
      <x:c r="J63" s="4" t="n">
        <x:v>0.43000000000000005</x:v>
      </x:c>
      <x:c r="K63" s="4" t="n">
        <x:v>0.34</x:v>
      </x:c>
      <x:c r="L63" s="4" t="n">
        <x:v>0.29000000000000004</x:v>
      </x:c>
    </x:row>
    <x:row r="64">
      <x:c r="A64" t="str">
        <x:v>Dec 2025</x:v>
      </x:c>
      <x:c r="B64" t="str">
        <x:v>Mobile</x:v>
      </x:c>
      <x:c r="C64" t="str">
        <x:v>2 GB</x:v>
      </x:c>
      <x:c r="D64" t="n">
        <x:v>1191</x:v>
      </x:c>
      <x:c r="E64" t="n">
        <x:v>147</x:v>
      </x:c>
      <x:c r="F64" t="n">
        <x:v>47</x:v>
      </x:c>
      <x:c r="G64" s="3" t="n">
        <x:v>78606</x:v>
      </x:c>
      <x:c r="H64" s="3" t="n">
        <x:v>11790.9</x:v>
      </x:c>
      <x:c r="I64" s="3" t="n">
        <x:v>17293.32</x:v>
      </x:c>
      <x:c r="J64" s="4" t="n">
        <x:v>0.45</x:v>
      </x:c>
      <x:c r="K64" s="4" t="n">
        <x:v>0.35000000000000003</x:v>
      </x:c>
      <x:c r="L64" s="4" t="n">
        <x:v>0.33</x:v>
      </x:c>
    </x:row>
    <x:row r="65">
      <x:c r="A65" t="str">
        <x:v>Dec 2025</x:v>
      </x:c>
      <x:c r="B65" t="str">
        <x:v>Mobile</x:v>
      </x:c>
      <x:c r="C65" t="str">
        <x:v>5 GB + Tethering</x:v>
      </x:c>
      <x:c r="D65" t="n">
        <x:v>1244</x:v>
      </x:c>
      <x:c r="E65" t="n">
        <x:v>178</x:v>
      </x:c>
      <x:c r="F65" t="n">
        <x:v>58</x:v>
      </x:c>
      <x:c r="G65" s="3" t="n">
        <x:v>87080</x:v>
      </x:c>
      <x:c r="H65" s="3" t="n">
        <x:v>13062</x:v>
      </x:c>
      <x:c r="I65" s="3" t="n">
        <x:v>20028.399999999998</x:v>
      </x:c>
      <x:c r="J65" s="4" t="n">
        <x:v>0.27</x:v>
      </x:c>
      <x:c r="K65" s="4" t="n">
        <x:v>0.36</x:v>
      </x:c>
      <x:c r="L65" s="4" t="n">
        <x:v>0.37</x:v>
      </x:c>
    </x:row>
    <x:row r="66">
      <x:c r="A66" t="str">
        <x:v>Dec 2025</x:v>
      </x:c>
      <x:c r="B66" t="str">
        <x:v>Broadband</x:v>
      </x:c>
      <x:c r="C66" t="str">
        <x:v>5 GB</x:v>
      </x:c>
      <x:c r="D66" t="n">
        <x:v>1182</x:v>
      </x:c>
      <x:c r="E66" t="n">
        <x:v>538</x:v>
      </x:c>
      <x:c r="F66" t="n">
        <x:v>42</x:v>
      </x:c>
      <x:c r="G66" s="3" t="n">
        <x:v>82740</x:v>
      </x:c>
      <x:c r="H66" s="3" t="n">
        <x:v>12411</x:v>
      </x:c>
      <x:c r="I66" s="3" t="n">
        <x:v>19030.199999999997</x:v>
      </x:c>
      <x:c r="J66" s="4" t="n">
        <x:v>0.42000000000000004</x:v>
      </x:c>
      <x:c r="K66" s="4" t="n">
        <x:v>0.35000000000000003</x:v>
      </x:c>
      <x:c r="L66" s="4" t="n">
        <x:v>0.44000000000000006</x:v>
      </x:c>
    </x:row>
    <x:row r="67">
      <x:c r="A67" t="str">
        <x:v>Dec 2025</x:v>
      </x:c>
      <x:c r="B67" t="str">
        <x:v>Broadband</x:v>
      </x:c>
      <x:c r="C67" t="str">
        <x:v>500 MB</x:v>
      </x:c>
      <x:c r="D67" t="n">
        <x:v>1235</x:v>
      </x:c>
      <x:c r="E67" t="n">
        <x:v>159</x:v>
      </x:c>
      <x:c r="F67" t="n">
        <x:v>53</x:v>
      </x:c>
      <x:c r="G67" s="3" t="n">
        <x:v>91390</x:v>
      </x:c>
      <x:c r="H67" s="3" t="n">
        <x:v>13708.5</x:v>
      </x:c>
      <x:c r="I67" s="3" t="n">
        <x:v>21933.6</x:v>
      </x:c>
      <x:c r="J67" s="4" t="n">
        <x:v>0.44</x:v>
      </x:c>
      <x:c r="K67" s="4" t="n">
        <x:v>0.36</x:v>
      </x:c>
      <x:c r="L67" s="4" t="n">
        <x:v>0.30000000000000004</x:v>
      </x:c>
    </x:row>
    <x:row r="68">
      <x:c r="A68" t="str">
        <x:v>Dec 2025</x:v>
      </x:c>
      <x:c r="B68" t="str">
        <x:v>Broadband</x:v>
      </x:c>
      <x:c r="C68" t="str">
        <x:v>2 GB</x:v>
      </x:c>
      <x:c r="D68" t="n">
        <x:v>1288</x:v>
      </x:c>
      <x:c r="E68" t="n">
        <x:v>190</x:v>
      </x:c>
      <x:c r="F68" t="n">
        <x:v>64</x:v>
      </x:c>
      <x:c r="G68" s="3" t="n">
        <x:v>100464</x:v>
      </x:c>
      <x:c r="H68" s="3" t="n">
        <x:v>15069.599999999999</x:v>
      </x:c>
      <x:c r="I68" s="3" t="n">
        <x:v>15069.599999999999</x:v>
      </x:c>
      <x:c r="J68" s="4" t="n">
        <x:v>0.26</x:v>
      </x:c>
      <x:c r="K68" s="4" t="n">
        <x:v>0.37</x:v>
      </x:c>
      <x:c r="L68" s="4" t="n">
        <x:v>0.34</x:v>
      </x:c>
    </x:row>
    <x:row r="69">
      <x:c r="A69" t="str">
        <x:v>Dec 2025</x:v>
      </x:c>
      <x:c r="B69" t="str">
        <x:v>Broadband</x:v>
      </x:c>
      <x:c r="C69" t="str">
        <x:v>5 GB + Tethering</x:v>
      </x:c>
      <x:c r="D69" t="n">
        <x:v>1341</x:v>
      </x:c>
      <x:c r="E69" t="n">
        <x:v>221</x:v>
      </x:c>
      <x:c r="F69" t="n">
        <x:v>75</x:v>
      </x:c>
      <x:c r="G69" s="3" t="n">
        <x:v>109962</x:v>
      </x:c>
      <x:c r="H69" s="3" t="n">
        <x:v>16494.3</x:v>
      </x:c>
      <x:c r="I69" s="3" t="n">
        <x:v>17593.920000000002</x:v>
      </x:c>
      <x:c r="J69" s="4" t="n">
        <x:v>0.28</x:v>
      </x:c>
      <x:c r="K69" s="4" t="n">
        <x:v>0.38</x:v>
      </x:c>
      <x:c r="L69" s="4" t="n">
        <x:v>0.38</x:v>
      </x:c>
    </x:row>
    <x:row r="70">
      <x:c r="A70" t="str">
        <x:v>Dec 2025</x:v>
      </x:c>
      <x:c r="B70" t="str">
        <x:v>Voice</x:v>
      </x:c>
      <x:c r="C70" t="str">
        <x:v>5 GB</x:v>
      </x:c>
      <x:c r="D70" t="n">
        <x:v>1279</x:v>
      </x:c>
      <x:c r="E70" t="n">
        <x:v>171</x:v>
      </x:c>
      <x:c r="F70" t="n">
        <x:v>59</x:v>
      </x:c>
      <x:c r="G70" s="3" t="n">
        <x:v>104878</x:v>
      </x:c>
      <x:c r="H70" s="3" t="n">
        <x:v>15731.699999999999</x:v>
      </x:c>
      <x:c r="I70" s="3" t="n">
        <x:v>16780.48</x:v>
      </x:c>
      <x:c r="J70" s="4" t="n">
        <x:v>0.43000000000000005</x:v>
      </x:c>
      <x:c r="K70" s="4" t="n">
        <x:v>0.37</x:v>
      </x:c>
      <x:c r="L70" s="4" t="n">
        <x:v>0.45000000000000007</x:v>
      </x:c>
    </x:row>
    <x:row r="71">
      <x:c r="A71" t="str">
        <x:v>Dec 2025</x:v>
      </x:c>
      <x:c r="B71" t="str">
        <x:v>Voice</x:v>
      </x:c>
      <x:c r="C71" t="str">
        <x:v>500 MB</x:v>
      </x:c>
      <x:c r="D71" t="n">
        <x:v>1332</x:v>
      </x:c>
      <x:c r="E71" t="n">
        <x:v>202</x:v>
      </x:c>
      <x:c r="F71" t="n">
        <x:v>70</x:v>
      </x:c>
      <x:c r="G71" s="3" t="n">
        <x:v>114552</x:v>
      </x:c>
      <x:c r="H71" s="3" t="n">
        <x:v>17182.8</x:v>
      </x:c>
      <x:c r="I71" s="3" t="n">
        <x:v>19473.839999999997</x:v>
      </x:c>
      <x:c r="J71" s="4" t="n">
        <x:v>0.45</x:v>
      </x:c>
      <x:c r="K71" s="4" t="n">
        <x:v>0.38</x:v>
      </x:c>
      <x:c r="L71" s="4" t="n">
        <x:v>0.31000000000000005</x:v>
      </x:c>
    </x:row>
    <x:row r="72">
      <x:c r="A72" t="str">
        <x:v>Dec 2025</x:v>
      </x:c>
      <x:c r="B72" t="str">
        <x:v>Voice</x:v>
      </x:c>
      <x:c r="C72" t="str">
        <x:v>2 GB</x:v>
      </x:c>
      <x:c r="D72" t="n">
        <x:v>1385</x:v>
      </x:c>
      <x:c r="E72" t="n">
        <x:v>233</x:v>
      </x:c>
      <x:c r="F72" t="n">
        <x:v>81</x:v>
      </x:c>
      <x:c r="G72" s="3" t="n">
        <x:v>124650</x:v>
      </x:c>
      <x:c r="H72" s="3" t="n">
        <x:v>18697.5</x:v>
      </x:c>
      <x:c r="I72" s="3" t="n">
        <x:v>22437</x:v>
      </x:c>
      <x:c r="J72" s="4" t="n">
        <x:v>0.27</x:v>
      </x:c>
      <x:c r="K72" s="4" t="n">
        <x:v>0.39</x:v>
      </x:c>
      <x:c r="L72" s="4" t="n">
        <x:v>0.35000000000000003</x:v>
      </x:c>
    </x:row>
    <x:row r="73">
      <x:c r="A73" t="str">
        <x:v>Dec 2025</x:v>
      </x:c>
      <x:c r="B73" t="str">
        <x:v>Voice</x:v>
      </x:c>
      <x:c r="C73" t="str">
        <x:v>5 GB + Tethering</x:v>
      </x:c>
      <x:c r="D73" t="n">
        <x:v>1438</x:v>
      </x:c>
      <x:c r="E73" t="n">
        <x:v>264</x:v>
      </x:c>
      <x:c r="F73" t="n">
        <x:v>92</x:v>
      </x:c>
      <x:c r="G73" s="3" t="n">
        <x:v>135172</x:v>
      </x:c>
      <x:c r="H73" s="3" t="n">
        <x:v>20275.8</x:v>
      </x:c>
      <x:c r="I73" s="3" t="n">
        <x:v>25682.68</x:v>
      </x:c>
      <x:c r="J73" s="4" t="n">
        <x:v>0.29000000000000004</x:v>
      </x:c>
      <x:c r="K73" s="4" t="n">
        <x:v>0.4</x:v>
      </x:c>
      <x:c r="L73" s="4" t="n">
        <x:v>0.39</x:v>
      </x:c>
    </x:row>
  </x:sheetData>
  <x:pageMargins left="0.7" right="0.7" top="0.75" bottom="0.75" header="0.3" footer="0.3"/>
  <x:tableParts count="1">
    <x:tablePart xmlns:r="http://schemas.openxmlformats.org/officeDocument/2006/relationships" r:id="R00894faafcb649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 t="str">
        <x:v>Month</x:v>
      </x:c>
      <x:c r="B1" s="2" t="str">
        <x:v>5 GB</x:v>
      </x:c>
      <x:c r="C1" s="2" t="str">
        <x:v>500 MB</x:v>
      </x:c>
      <x:c r="D1" s="2" t="str">
        <x:v>2 GB</x:v>
      </x:c>
      <x:c r="E1" s="2" t="str">
        <x:v>5 GB + Tethering</x:v>
      </x:c>
      <x:c r="F1" s="2"/>
      <x:c r="G1" s="2" t="str">
        <x:v>Month</x:v>
      </x:c>
      <x:c r="H1" s="2" t="str">
        <x:v>CAPEX / Sales</x:v>
      </x:c>
    </x:row>
    <x:row r="2">
      <x:c r="A2" t="str">
        <x:v>Jul 2025</x:v>
      </x:c>
      <x:c r="B2" s="4" t="n">
        <x:f>SUMIFS('Monthly Data'!$D$2:$D$73,'Monthly Data'!$A$2:$A$73,$A2,'Monthly Data'!$C$2:$C$73,B$1)/SUMIF('Monthly Data'!$A$2:$A$73,$A2,'Monthly Data'!$D$2:$D$73)</x:f>
        <x:v>0.22922111866178776</x:v>
      </x:c>
      <x:c r="C2" s="4" t="n">
        <x:f>SUMIFS('Monthly Data'!$D$2:$D$73,'Monthly Data'!$A$2:$A$73,$A2,'Monthly Data'!$C$2:$C$73,C$1)/SUMIF('Monthly Data'!$A$2:$A$73,$A2,'Monthly Data'!$D$2:$D$73)</x:f>
        <x:v>0.24307370622059593</x:v>
      </x:c>
      <x:c r="D2" s="4" t="n">
        <x:f>SUMIFS('Monthly Data'!$D$2:$D$73,'Monthly Data'!$A$2:$A$73,$A2,'Monthly Data'!$C$2:$C$73,D$1)/SUMIF('Monthly Data'!$A$2:$A$73,$A2,'Monthly Data'!$D$2:$D$73)</x:f>
        <x:v>0.25692629377940407</x:v>
      </x:c>
      <x:c r="E2" s="4" t="n">
        <x:f>SUMIFS('Monthly Data'!$D$2:$D$73,'Monthly Data'!$A$2:$A$73,$A2,'Monthly Data'!$C$2:$C$73,E$1)/SUMIF('Monthly Data'!$A$2:$A$73,$A2,'Monthly Data'!$D$2:$D$73)</x:f>
        <x:v>0.2707788813382122</x:v>
      </x:c>
      <x:c r="G2" t="str">
        <x:v>Jul 2025</x:v>
      </x:c>
      <x:c r="H2" s="4" t="n">
        <x:f>SUMIF('Monthly Data'!$A$2:$A$73,G2,'Monthly Data'!$I$2:$I$73)/SUMIF('Monthly Data'!$A$2:$A$73,G2,'Monthly Data'!$G$2:$G$73)</x:f>
        <x:v>0.20144436156506407</x:v>
      </x:c>
    </x:row>
    <x:row r="3">
      <x:c r="A3" t="str">
        <x:v>Aug 2025</x:v>
      </x:c>
      <x:c r="B3" s="4" t="n">
        <x:f>SUMIFS('Monthly Data'!$D$2:$D$73,'Monthly Data'!$A$2:$A$73,$A3,'Monthly Data'!$C$2:$C$73,B$1)/SUMIF('Monthly Data'!$A$2:$A$73,$A3,'Monthly Data'!$D$2:$D$73)</x:f>
        <x:v>0.23046683046683047</x:v>
      </x:c>
      <x:c r="C3" s="4" t="n">
        <x:f>SUMIFS('Monthly Data'!$D$2:$D$73,'Monthly Data'!$A$2:$A$73,$A3,'Monthly Data'!$C$2:$C$73,C$1)/SUMIF('Monthly Data'!$A$2:$A$73,$A3,'Monthly Data'!$D$2:$D$73)</x:f>
        <x:v>0.24348894348894348</x:v>
      </x:c>
      <x:c r="D3" s="4" t="n">
        <x:f>SUMIFS('Monthly Data'!$D$2:$D$73,'Monthly Data'!$A$2:$A$73,$A3,'Monthly Data'!$C$2:$C$73,D$1)/SUMIF('Monthly Data'!$A$2:$A$73,$A3,'Monthly Data'!$D$2:$D$73)</x:f>
        <x:v>0.2565110565110565</x:v>
      </x:c>
      <x:c r="E3" s="4" t="n">
        <x:f>SUMIFS('Monthly Data'!$D$2:$D$73,'Monthly Data'!$A$2:$A$73,$A3,'Monthly Data'!$C$2:$C$73,E$1)/SUMIF('Monthly Data'!$A$2:$A$73,$A3,'Monthly Data'!$D$2:$D$73)</x:f>
        <x:v>0.2695331695331695</x:v>
      </x:c>
      <x:c r="G3" t="str">
        <x:v>Aug 2025</x:v>
      </x:c>
      <x:c r="H3" s="4" t="n">
        <x:f>SUMIF('Monthly Data'!$A$2:$A$73,G3,'Monthly Data'!$I$2:$I$73)/SUMIF('Monthly Data'!$A$2:$A$73,G3,'Monthly Data'!$G$2:$G$73)</x:f>
        <x:v>0.18901523948059018</x:v>
      </x:c>
    </x:row>
    <x:row r="4">
      <x:c r="A4" t="str">
        <x:v>Sep 2025</x:v>
      </x:c>
      <x:c r="B4" s="4" t="n">
        <x:f>SUMIFS('Monthly Data'!$D$2:$D$73,'Monthly Data'!$A$2:$A$73,$A4,'Monthly Data'!$C$2:$C$73,B$1)/SUMIF('Monthly Data'!$A$2:$A$73,$A4,'Monthly Data'!$D$2:$D$73)</x:f>
        <x:v>0.23157162726008346</x:v>
      </x:c>
      <x:c r="C4" s="4" t="n">
        <x:f>SUMIFS('Monthly Data'!$D$2:$D$73,'Monthly Data'!$A$2:$A$73,$A4,'Monthly Data'!$C$2:$C$73,C$1)/SUMIF('Monthly Data'!$A$2:$A$73,$A4,'Monthly Data'!$D$2:$D$73)</x:f>
        <x:v>0.24385720908669448</x:v>
      </x:c>
      <x:c r="D4" s="4" t="n">
        <x:f>SUMIFS('Monthly Data'!$D$2:$D$73,'Monthly Data'!$A$2:$A$73,$A4,'Monthly Data'!$C$2:$C$73,D$1)/SUMIF('Monthly Data'!$A$2:$A$73,$A4,'Monthly Data'!$D$2:$D$73)</x:f>
        <x:v>0.2561427909133055</x:v>
      </x:c>
      <x:c r="E4" s="4" t="n">
        <x:f>SUMIFS('Monthly Data'!$D$2:$D$73,'Monthly Data'!$A$2:$A$73,$A4,'Monthly Data'!$C$2:$C$73,E$1)/SUMIF('Monthly Data'!$A$2:$A$73,$A4,'Monthly Data'!$D$2:$D$73)</x:f>
        <x:v>0.26842837273991654</x:v>
      </x:c>
      <x:c r="G4" t="str">
        <x:v>Sep 2025</x:v>
      </x:c>
      <x:c r="H4" s="4" t="n">
        <x:f>SUMIF('Monthly Data'!$A$2:$A$73,G4,'Monthly Data'!$I$2:$I$73)/SUMIF('Monthly Data'!$A$2:$A$73,G4,'Monthly Data'!$G$2:$G$73)</x:f>
        <x:v>0.1899711269330699</x:v>
      </x:c>
    </x:row>
    <x:row r="5">
      <x:c r="A5" t="str">
        <x:v>Oct 2025</x:v>
      </x:c>
      <x:c r="B5" s="4" t="n">
        <x:f>SUMIFS('Monthly Data'!$D$2:$D$73,'Monthly Data'!$A$2:$A$73,$A5,'Monthly Data'!$C$2:$C$73,B$1)/SUMIF('Monthly Data'!$A$2:$A$73,$A5,'Monthly Data'!$D$2:$D$73)</x:f>
        <x:v>0.23255813953488372</x:v>
      </x:c>
      <x:c r="C5" s="4" t="n">
        <x:f>SUMIFS('Monthly Data'!$D$2:$D$73,'Monthly Data'!$A$2:$A$73,$A5,'Monthly Data'!$C$2:$C$73,C$1)/SUMIF('Monthly Data'!$A$2:$A$73,$A5,'Monthly Data'!$D$2:$D$73)</x:f>
        <x:v>0.2441860465116279</x:v>
      </x:c>
      <x:c r="D5" s="4" t="n">
        <x:f>SUMIFS('Monthly Data'!$D$2:$D$73,'Monthly Data'!$A$2:$A$73,$A5,'Monthly Data'!$C$2:$C$73,D$1)/SUMIF('Monthly Data'!$A$2:$A$73,$A5,'Monthly Data'!$D$2:$D$73)</x:f>
        <x:v>0.2558139534883721</x:v>
      </x:c>
      <x:c r="E5" s="4" t="n">
        <x:f>SUMIFS('Monthly Data'!$D$2:$D$73,'Monthly Data'!$A$2:$A$73,$A5,'Monthly Data'!$C$2:$C$73,E$1)/SUMIF('Monthly Data'!$A$2:$A$73,$A5,'Monthly Data'!$D$2:$D$73)</x:f>
        <x:v>0.26744186046511625</x:v>
      </x:c>
      <x:c r="G5" t="str">
        <x:v>Oct 2025</x:v>
      </x:c>
      <x:c r="H5" s="4" t="n">
        <x:f>SUMIF('Monthly Data'!$A$2:$A$73,G5,'Monthly Data'!$I$2:$I$73)/SUMIF('Monthly Data'!$A$2:$A$73,G5,'Monthly Data'!$G$2:$G$73)</x:f>
        <x:v>0.19926512480555586</x:v>
      </x:c>
    </x:row>
    <x:row r="6">
      <x:c r="A6" t="str">
        <x:v>Nov 2025</x:v>
      </x:c>
      <x:c r="B6" s="4" t="n">
        <x:f>SUMIFS('Monthly Data'!$D$2:$D$73,'Monthly Data'!$A$2:$A$73,$A6,'Monthly Data'!$C$2:$C$73,B$1)/SUMIF('Monthly Data'!$A$2:$A$73,$A6,'Monthly Data'!$D$2:$D$73)</x:f>
        <x:v>0.23344439816743023</x:v>
      </x:c>
      <x:c r="C6" s="4" t="n">
        <x:f>SUMIFS('Monthly Data'!$D$2:$D$73,'Monthly Data'!$A$2:$A$73,$A6,'Monthly Data'!$C$2:$C$73,C$1)/SUMIF('Monthly Data'!$A$2:$A$73,$A6,'Monthly Data'!$D$2:$D$73)</x:f>
        <x:v>0.2444814660558101</x:v>
      </x:c>
      <x:c r="D6" s="4" t="n">
        <x:f>SUMIFS('Monthly Data'!$D$2:$D$73,'Monthly Data'!$A$2:$A$73,$A6,'Monthly Data'!$C$2:$C$73,D$1)/SUMIF('Monthly Data'!$A$2:$A$73,$A6,'Monthly Data'!$D$2:$D$73)</x:f>
        <x:v>0.25551853394418994</x:v>
      </x:c>
      <x:c r="E6" s="4" t="n">
        <x:f>SUMIFS('Monthly Data'!$D$2:$D$73,'Monthly Data'!$A$2:$A$73,$A6,'Monthly Data'!$C$2:$C$73,E$1)/SUMIF('Monthly Data'!$A$2:$A$73,$A6,'Monthly Data'!$D$2:$D$73)</x:f>
        <x:v>0.26655560183256977</x:v>
      </x:c>
      <x:c r="G6" t="str">
        <x:v>Nov 2025</x:v>
      </x:c>
      <x:c r="H6" s="4" t="n">
        <x:f>SUMIF('Monthly Data'!$A$2:$A$73,G6,'Monthly Data'!$I$2:$I$73)/SUMIF('Monthly Data'!$A$2:$A$73,G6,'Monthly Data'!$G$2:$G$73)</x:f>
        <x:v>0.1923096623644961</x:v>
      </x:c>
    </x:row>
    <x:row r="7">
      <x:c r="A7" t="str">
        <x:v>Dec 2025</x:v>
      </x:c>
      <x:c r="B7" s="4" t="n">
        <x:f>SUMIFS('Monthly Data'!$D$2:$D$73,'Monthly Data'!$A$2:$A$73,$A7,'Monthly Data'!$C$2:$C$73,B$1)/SUMIF('Monthly Data'!$A$2:$A$73,$A7,'Monthly Data'!$D$2:$D$73)</x:f>
        <x:v>0.2342449464922711</x:v>
      </x:c>
      <x:c r="C7" s="4" t="n">
        <x:f>SUMIFS('Monthly Data'!$D$2:$D$73,'Monthly Data'!$A$2:$A$73,$A7,'Monthly Data'!$C$2:$C$73,C$1)/SUMIF('Monthly Data'!$A$2:$A$73,$A7,'Monthly Data'!$D$2:$D$73)</x:f>
        <x:v>0.2447483154974237</x:v>
      </x:c>
      <x:c r="D7" s="4" t="n">
        <x:f>SUMIFS('Monthly Data'!$D$2:$D$73,'Monthly Data'!$A$2:$A$73,$A7,'Monthly Data'!$C$2:$C$73,D$1)/SUMIF('Monthly Data'!$A$2:$A$73,$A7,'Monthly Data'!$D$2:$D$73)</x:f>
        <x:v>0.2552516845025763</x:v>
      </x:c>
      <x:c r="E7" s="4" t="n">
        <x:f>SUMIFS('Monthly Data'!$D$2:$D$73,'Monthly Data'!$A$2:$A$73,$A7,'Monthly Data'!$C$2:$C$73,E$1)/SUMIF('Monthly Data'!$A$2:$A$73,$A7,'Monthly Data'!$D$2:$D$73)</x:f>
        <x:v>0.2657550535077289</x:v>
      </x:c>
      <x:c r="G7" t="str">
        <x:v>Dec 2025</x:v>
      </x:c>
      <x:c r="H7" s="4" t="n">
        <x:f>SUMIF('Monthly Data'!$A$2:$A$73,G7,'Monthly Data'!$I$2:$I$73)/SUMIF('Monthly Data'!$A$2:$A$73,G7,'Monthly Data'!$G$2:$G$73)</x:f>
        <x:v>0.19151300968202378</x:v>
      </x:c>
    </x:row>
    <x:row r="10">
      <x:c r="A10" s="2" t="str">
        <x:v>Month</x:v>
      </x:c>
      <x:c r="B10" s="2" t="str">
        <x:v>Text</x:v>
      </x:c>
      <x:c r="C10" s="2" t="str">
        <x:v>Voice</x:v>
      </x:c>
      <x:c r="D10" s="2" t="str">
        <x:v>Data</x:v>
      </x:c>
      <x:c r="E10" s="2"/>
      <x:c r="F10" s="2" t="str">
        <x:v>Month</x:v>
      </x:c>
      <x:c r="G10" s="2" t="str">
        <x:v>Gross Adds</x:v>
      </x:c>
      <x:c r="H10" s="2" t="str">
        <x:v>Net Adds</x:v>
      </x:c>
    </x:row>
    <x:row r="11">
      <x:c r="A11" t="str">
        <x:v>Jul 2025</x:v>
      </x:c>
      <x:c r="B11" s="4" t="n">
        <x:f>AVERAGEIF('Monthly Data'!$A$2:$A$73,A11,'Monthly Data'!$J$2:$J$73)</x:f>
        <x:v>0.3</x:v>
      </x:c>
      <x:c r="C11" s="4" t="n">
        <x:f>AVERAGEIF('Monthly Data'!$A$2:$A$73,A11,'Monthly Data'!$K$2:$K$73)</x:f>
        <x:v>0.305</x:v>
      </x:c>
      <x:c r="D11" s="4" t="n">
        <x:f>AVERAGEIF('Monthly Data'!$A$2:$A$73,A11,'Monthly Data'!$L$2:$L$73)</x:f>
        <x:v>0.35000000000000003</x:v>
      </x:c>
      <x:c r="F11" t="str">
        <x:v>Jul 2025</x:v>
      </x:c>
      <x:c r="G11" t="n">
        <x:f>SUMIF('Monthly Data'!$A$2:$A$73,F11,'Monthly Data'!$E$2:$E$73)</x:f>
        <x:v>2754</x:v>
      </x:c>
      <x:c r="H11" t="n">
        <x:f>G11-SUMIF('Monthly Data'!$A$2:$A$73,F11,'Monthly Data'!$F$2:$F$73)</x:f>
        <x:v>2052</x:v>
      </x:c>
    </x:row>
    <x:row r="12">
      <x:c r="A12" t="str">
        <x:v>Aug 2025</x:v>
      </x:c>
      <x:c r="B12" s="4" t="n">
        <x:f>AVERAGEIF('Monthly Data'!$A$2:$A$73,A12,'Monthly Data'!$J$2:$J$73)</x:f>
        <x:v>0.37000000000000005</x:v>
      </x:c>
      <x:c r="C12" s="4" t="n">
        <x:f>AVERAGEIF('Monthly Data'!$A$2:$A$73,A12,'Monthly Data'!$K$2:$K$73)</x:f>
        <x:v>0.355</x:v>
      </x:c>
      <x:c r="D12" s="4" t="n">
        <x:f>AVERAGEIF('Monthly Data'!$A$2:$A$73,A12,'Monthly Data'!$L$2:$L$73)</x:f>
        <x:v>0.38000000000000006</x:v>
      </x:c>
      <x:c r="F12" t="str">
        <x:v>Aug 2025</x:v>
      </x:c>
      <x:c r="G12" t="n">
        <x:f>SUMIF('Monthly Data'!$A$2:$A$73,F12,'Monthly Data'!$E$2:$E$73)</x:f>
        <x:v>3606</x:v>
      </x:c>
      <x:c r="H12" t="n">
        <x:f>G12-SUMIF('Monthly Data'!$A$2:$A$73,F12,'Monthly Data'!$F$2:$F$73)</x:f>
        <x:v>2676</x:v>
      </x:c>
    </x:row>
    <x:row r="13">
      <x:c r="A13" t="str">
        <x:v>Sep 2025</x:v>
      </x:c>
      <x:c r="B13" s="4" t="n">
        <x:f>AVERAGEIF('Monthly Data'!$A$2:$A$73,A13,'Monthly Data'!$J$2:$J$73)</x:f>
        <x:v>0.37333333333333335</x:v>
      </x:c>
      <x:c r="C13" s="4" t="n">
        <x:f>AVERAGEIF('Monthly Data'!$A$2:$A$73,A13,'Monthly Data'!$K$2:$K$73)</x:f>
        <x:v>0.405</x:v>
      </x:c>
      <x:c r="D13" s="4" t="n">
        <x:f>AVERAGEIF('Monthly Data'!$A$2:$A$73,A13,'Monthly Data'!$L$2:$L$73)</x:f>
        <x:v>0.365</x:v>
      </x:c>
      <x:c r="F13" t="str">
        <x:v>Sep 2025</x:v>
      </x:c>
      <x:c r="G13" t="n">
        <x:f>SUMIF('Monthly Data'!$A$2:$A$73,F13,'Monthly Data'!$E$2:$E$73)</x:f>
        <x:v>4458</x:v>
      </x:c>
      <x:c r="H13" t="n">
        <x:f>G13-SUMIF('Monthly Data'!$A$2:$A$73,F13,'Monthly Data'!$F$2:$F$73)</x:f>
        <x:v>3395</x:v>
      </x:c>
    </x:row>
    <x:row r="14">
      <x:c r="A14" t="str">
        <x:v>Oct 2025</x:v>
      </x:c>
      <x:c r="B14" s="4" t="n">
        <x:f>AVERAGEIF('Monthly Data'!$A$2:$A$73,A14,'Monthly Data'!$J$2:$J$73)</x:f>
        <x:v>0.31</x:v>
      </x:c>
      <x:c r="C14" s="4" t="n">
        <x:f>AVERAGEIF('Monthly Data'!$A$2:$A$73,A14,'Monthly Data'!$K$2:$K$73)</x:f>
        <x:v>0.36000000000000004</x:v>
      </x:c>
      <x:c r="D14" s="4" t="n">
        <x:f>AVERAGEIF('Monthly Data'!$A$2:$A$73,A14,'Monthly Data'!$L$2:$L$73)</x:f>
        <x:v>0.36500000000000005</x:v>
      </x:c>
      <x:c r="F14" t="str">
        <x:v>Oct 2025</x:v>
      </x:c>
      <x:c r="G14" t="n">
        <x:f>SUMIF('Monthly Data'!$A$2:$A$73,F14,'Monthly Data'!$E$2:$E$73)</x:f>
        <x:v>5310</x:v>
      </x:c>
      <x:c r="H14" t="n">
        <x:f>G14-SUMIF('Monthly Data'!$A$2:$A$73,F14,'Monthly Data'!$F$2:$F$73)</x:f>
        <x:v>4399</x:v>
      </x:c>
    </x:row>
    <x:row r="15">
      <x:c r="A15" t="str">
        <x:v>Nov 2025</x:v>
      </x:c>
      <x:c r="B15" s="4" t="n">
        <x:f>AVERAGEIF('Monthly Data'!$A$2:$A$73,A15,'Monthly Data'!$J$2:$J$73)</x:f>
        <x:v>0.38000000000000006</x:v>
      </x:c>
      <x:c r="C15" s="4" t="n">
        <x:f>AVERAGEIF('Monthly Data'!$A$2:$A$73,A15,'Monthly Data'!$K$2:$K$73)</x:f>
        <x:v>0.315</x:v>
      </x:c>
      <x:c r="D15" s="4" t="n">
        <x:f>AVERAGEIF('Monthly Data'!$A$2:$A$73,A15,'Monthly Data'!$L$2:$L$73)</x:f>
        <x:v>0.36500000000000005</x:v>
      </x:c>
      <x:c r="F15" t="str">
        <x:v>Nov 2025</x:v>
      </x:c>
      <x:c r="G15" t="n">
        <x:f>SUMIF('Monthly Data'!$A$2:$A$73,F15,'Monthly Data'!$E$2:$E$73)</x:f>
        <x:v>4932</x:v>
      </x:c>
      <x:c r="H15" t="n">
        <x:f>G15-SUMIF('Monthly Data'!$A$2:$A$73,F15,'Monthly Data'!$F$2:$F$73)</x:f>
        <x:v>4173</x:v>
      </x:c>
    </x:row>
    <x:row r="16">
      <x:c r="A16" t="str">
        <x:v>Dec 2025</x:v>
      </x:c>
      <x:c r="B16" s="4" t="n">
        <x:f>AVERAGEIF('Monthly Data'!$A$2:$A$73,A16,'Monthly Data'!$J$2:$J$73)</x:f>
        <x:v>0.3666666666666667</x:v>
      </x:c>
      <x:c r="C16" s="4" t="n">
        <x:f>AVERAGEIF('Monthly Data'!$A$2:$A$73,A16,'Monthly Data'!$K$2:$K$73)</x:f>
        <x:v>0.365</x:v>
      </x:c>
      <x:c r="D16" s="4" t="n">
        <x:f>AVERAGEIF('Monthly Data'!$A$2:$A$73,A16,'Monthly Data'!$L$2:$L$73)</x:f>
        <x:v>0.365</x:v>
      </x:c>
      <x:c r="F16" t="str">
        <x:v>Dec 2025</x:v>
      </x:c>
      <x:c r="G16" t="n">
        <x:f>SUMIF('Monthly Data'!$A$2:$A$73,F16,'Monthly Data'!$E$2:$E$73)</x:f>
        <x:v>3324</x:v>
      </x:c>
      <x:c r="H16" t="n">
        <x:f>G16-SUMIF('Monthly Data'!$A$2:$A$73,F16,'Monthly Data'!$F$2:$F$73)</x:f>
        <x:v>2622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42" hidden="0" customWidth="1"/>
  </x:cols>
  <x:sheetData>
    <x:row r="1" ht="38" customHeight="1">
      <x:c r="A1" s="2" t="str">
        <x:v>KPI</x:v>
      </x:c>
      <x:c r="B1" s="81" t="str">
        <x:v>Definition</x:v>
      </x:c>
      <x:c r="C1" s="81" t="str">
        <x:v>Calculation</x:v>
      </x:c>
    </x:row>
    <x:row r="2" ht="38" customHeight="1">
      <x:c r="A2" t="str">
        <x:v>Total Subscribers</x:v>
      </x:c>
      <x:c r="B2" t="str">
        <x:v>Sum of subscribers in filter context</x:v>
      </x:c>
      <x:c r="C2" t="str">
        <x:v>SUM subscribers</x:v>
      </x:c>
    </x:row>
    <x:row r="3" ht="38" customHeight="1">
      <x:c r="A3" t="str">
        <x:v>New Subscribers</x:v>
      </x:c>
      <x:c r="B3" t="str">
        <x:v>Gross subscriber additions</x:v>
      </x:c>
      <x:c r="C3" t="str">
        <x:v>SUM new subscribers</x:v>
      </x:c>
    </x:row>
    <x:row r="4" ht="38" customHeight="1">
      <x:c r="A4" t="str">
        <x:v>Disconnects</x:v>
      </x:c>
      <x:c r="B4" t="str">
        <x:v>Subscribers leaving service</x:v>
      </x:c>
      <x:c r="C4" t="str">
        <x:v>SUM disconnects</x:v>
      </x:c>
    </x:row>
    <x:row r="5" ht="38" customHeight="1">
      <x:c r="A5" t="str">
        <x:v>Churn Rate</x:v>
      </x:c>
      <x:c r="B5" t="str">
        <x:v>Disconnects divided by subscriber base</x:v>
      </x:c>
      <x:c r="C5" t="str">
        <x:v>Disconnects / subscribers</x:v>
      </x:c>
    </x:row>
    <x:row r="6" ht="38" customHeight="1">
      <x:c r="A6" t="str">
        <x:v>CAPEX to Sales</x:v>
      </x:c>
      <x:c r="B6" t="str">
        <x:v>Capital investment relative to sales</x:v>
      </x:c>
      <x:c r="C6" t="str">
        <x:v>CAPEX / revenue</x:v>
      </x:c>
    </x:row>
    <x:row r="7" ht="38" customHeight="1">
      <x:c r="A7" t="str">
        <x:v>Net Adds</x:v>
      </x:c>
      <x:c r="B7" t="str">
        <x:v>Gross additions less disconnects</x:v>
      </x:c>
      <x:c r="C7" t="str">
        <x:v>New subscribers - disconnects</x:v>
      </x:c>
    </x:row>
    <x:row r="8" ht="38" customHeight="1">
      <x:c r="A8" t="str">
        <x:v>Plan Mix</x:v>
      </x:c>
      <x:c r="B8" t="str">
        <x:v>Plan subscribers as share of monthly subscribers</x:v>
      </x:c>
      <x:c r="C8" t="str">
        <x:v>Plan subscribers / monthly subscribers</x:v>
      </x:c>
    </x:row>
  </x:sheetData>
  <x:pageMargins left="0.7" right="0.7" top="0.75" bottom="0.75" header="0.3" footer="0.3"/>
</x:worksheet>
</file>