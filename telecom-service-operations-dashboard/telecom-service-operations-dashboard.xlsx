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19547447eb45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vice Operations" sheetId="1" r:id="R7414be3f20e649e7"/>
    <x:sheet xmlns:r="http://schemas.openxmlformats.org/officeDocument/2006/relationships" name="Ticket Data" sheetId="2" r:id="Re4563d1550e44ecf"/>
    <x:sheet xmlns:r="http://schemas.openxmlformats.org/officeDocument/2006/relationships" name="Analysis" sheetId="3" r:id="R587400816cc0483d"/>
    <x:sheet xmlns:r="http://schemas.openxmlformats.org/officeDocument/2006/relationships" name="KPI Definitions" sheetId="4" r:id="R989868909f584d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8">
    <x:font>
      <x:sz val="11"/>
      <x:name val="Carlito"/>
    </x:font>
    <x:font>
      <x:b/>
      <x:sz val="11"/>
      <x:color rgb="FFFFFFFF"/>
      <x:name val="Carlito"/>
    </x:font>
    <x:font>
      <x:sz val="11"/>
      <x:color rgb="FF24323D"/>
      <x:name val="Aptos"/>
    </x:font>
    <x:font>
      <x:b/>
      <x:sz val="22"/>
      <x:color rgb="FFFFFFFF"/>
      <x:name val="Aptos"/>
    </x:font>
    <x:font>
      <x:i/>
      <x:sz val="11"/>
      <x:color rgb="FF24323D"/>
      <x:name val="Aptos"/>
    </x:font>
    <x:font>
      <x:b/>
      <x:sz val="11"/>
      <x:color rgb="FF173B57"/>
      <x:name val="Aptos"/>
    </x:font>
    <x:font>
      <x:b/>
      <x:sz val="11"/>
      <x:color rgb="FF24323D"/>
      <x:name val="Aptos"/>
    </x:font>
    <x:font>
      <x:b/>
      <x:sz val="14"/>
      <x:color rgb="FFFFFFFF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73B57"/>
      </x:patternFill>
    </x:fill>
    <x:fill>
      <x:patternFill patternType="solid">
        <x:fgColor rgb="FFDCECEE"/>
      </x:patternFill>
    </x:fill>
    <x:fill>
      <x:patternFill patternType="solid">
        <x:fgColor rgb="FFEEF4F6"/>
      </x:patternFill>
    </x:fill>
    <x:fill>
      <x:patternFill patternType="solid">
        <x:fgColor rgb="FFFFFFFF"/>
      </x:patternFill>
    </x:fill>
    <x:fill>
      <x:patternFill patternType="solid">
        <x:fgColor rgb="FF1C8C8C"/>
      </x:patternFill>
    </x:fill>
    <x:fill>
      <x:patternFill patternType="solid">
        <x:fgColor rgb="FF5BC0BE"/>
      </x:patternFill>
    </x:fill>
    <x:fill>
      <x:patternFill patternType="solid">
        <x:fgColor rgb="FFE6A93D"/>
      </x:patternFill>
    </x:fill>
  </x:fills>
  <x:borders count="11">
    <x:border/>
    <x:border>
      <x:left style="thin">
        <x:color rgb="FF1C8C8C"/>
      </x:left>
      <x:right style="thin">
        <x:color rgb="FF1C8C8C"/>
      </x:right>
      <x:top style="thin">
        <x:color rgb="FF1C8C8C"/>
      </x:top>
      <x:bottom style="thin">
        <x:color rgb="FF1C8C8C"/>
      </x:bottom>
    </x:border>
    <x:border>
      <x:left style="thin">
        <x:color rgb="FFFFFFFF"/>
      </x:left>
      <x:top style="thin">
        <x:color rgb="FFFFFFFF"/>
      </x:top>
    </x:border>
    <x:border>
      <x:top style="thin">
        <x:color rgb="FFFFFFFF"/>
      </x:top>
    </x:border>
    <x:border>
      <x:right style="thin">
        <x:color rgb="FFFFFFFF"/>
      </x:right>
      <x:top style="thin">
        <x:color rgb="FFFFFFFF"/>
      </x:top>
    </x:border>
    <x:border>
      <x:left style="thin">
        <x:color rgb="FFFFFFFF"/>
      </x:left>
    </x:border>
    <x:border>
      <x:right style="thin">
        <x:color rgb="FFFFFFFF"/>
      </x:right>
    </x:border>
    <x:border>
      <x:left style="thin">
        <x:color rgb="FFFFFFFF"/>
      </x:left>
      <x:bottom style="thin">
        <x:color rgb="FFFFFFFF"/>
      </x:bottom>
    </x:border>
    <x:border>
      <x:bottom style="thin">
        <x:color rgb="FFFFFFFF"/>
      </x:bottom>
    </x:border>
    <x:border>
      <x:right style="thin">
        <x:color rgb="FFFFFFFF"/>
      </x:right>
      <x:bottom style="thin">
        <x:color rgb="FFFFFFFF"/>
      </x:bottom>
    </x:border>
    <x:border>
      <x:bottom style="double">
        <x:color rgb="FFD7E0E5"/>
      </x:bottom>
    </x:border>
  </x:borders>
  <x:cellStyleXfs count="1">
    <x:xf numFmtId="0" fontId="0" fillId="0" borderId="0"/>
  </x:cellStyleXfs>
  <x:cellXfs count="1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/>
    <x:xf numFmtId="0" fontId="4" fillId="3" borderId="0" xfId="0" applyNumberFormat="1" applyFont="1" applyFill="1" applyBorder="1"/>
    <x:xf numFmtId="0" fontId="2" fillId="4" borderId="0" xfId="0" applyNumberFormat="1" applyFont="1" applyFill="1" applyBorder="1"/>
    <x:xf numFmtId="0" fontId="5" fillId="4" borderId="0" xfId="0" applyNumberFormat="1" applyFont="1" applyFill="1" applyBorder="1"/>
    <x:xf numFmtId="0" fontId="2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/>
    <x:xf numFmtId="0" fontId="7" fillId="2" borderId="2" xfId="0" applyNumberFormat="1" applyFont="1" applyFill="1" applyBorder="1"/>
    <x:xf numFmtId="0" fontId="7" fillId="2" borderId="3" xfId="0" applyNumberFormat="1" applyFont="1" applyFill="1" applyBorder="1"/>
    <x:xf numFmtId="0" fontId="7" fillId="2" borderId="4" xfId="0" applyNumberFormat="1" applyFont="1" applyFill="1" applyBorder="1"/>
    <x:xf numFmtId="0" fontId="7" fillId="2" borderId="5" xfId="0" applyNumberFormat="1" applyFont="1" applyFill="1" applyBorder="1"/>
    <x:xf numFmtId="0" fontId="7" fillId="2" borderId="6" xfId="0" applyNumberFormat="1" applyFont="1" applyFill="1" applyBorder="1"/>
    <x:xf numFmtId="0" fontId="7" fillId="2" borderId="7" xfId="0" applyNumberFormat="1" applyFont="1" applyFill="1" applyBorder="1"/>
    <x:xf numFmtId="0" fontId="7" fillId="2" borderId="8" xfId="0" applyNumberFormat="1" applyFont="1" applyFill="1" applyBorder="1"/>
    <x:xf numFmtId="0" fontId="7" fillId="2" borderId="9" xfId="0" applyNumberFormat="1" applyFont="1" applyFill="1" applyBorder="1"/>
    <x:xf numFmtId="0" fontId="7" fillId="2" borderId="2" xfId="0" applyNumberFormat="1" applyFont="1" applyFill="1" applyBorder="1" applyAlignment="1">
      <x:alignment wrapText="1"/>
    </x:xf>
    <x:xf numFmtId="0" fontId="7" fillId="2" borderId="3" xfId="0" applyNumberFormat="1" applyFont="1" applyFill="1" applyBorder="1" applyAlignment="1">
      <x:alignment wrapText="1"/>
    </x:xf>
    <x:xf numFmtId="0" fontId="7" fillId="2" borderId="4" xfId="0" applyNumberFormat="1" applyFont="1" applyFill="1" applyBorder="1" applyAlignment="1">
      <x:alignment wrapText="1"/>
    </x:xf>
    <x:xf numFmtId="0" fontId="7" fillId="2" borderId="5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wrapText="1"/>
    </x:xf>
    <x:xf numFmtId="0" fontId="7" fillId="2" borderId="6" xfId="0" applyNumberFormat="1" applyFont="1" applyFill="1" applyBorder="1" applyAlignment="1">
      <x:alignment wrapText="1"/>
    </x:xf>
    <x:xf numFmtId="0" fontId="7" fillId="2" borderId="7" xfId="0" applyNumberFormat="1" applyFont="1" applyFill="1" applyBorder="1" applyAlignment="1">
      <x:alignment wrapText="1"/>
    </x:xf>
    <x:xf numFmtId="0" fontId="7" fillId="2" borderId="8" xfId="0" applyNumberFormat="1" applyFont="1" applyFill="1" applyBorder="1" applyAlignment="1">
      <x:alignment wrapText="1"/>
    </x:xf>
    <x:xf numFmtId="0" fontId="7" fillId="2" borderId="9" xfId="0" applyNumberFormat="1" applyFont="1" applyFill="1" applyBorder="1" applyAlignment="1">
      <x:alignment wrapText="1"/>
    </x:xf>
    <x:xf numFmtId="0" fontId="7" fillId="2" borderId="2" xfId="0" applyNumberFormat="1" applyFont="1" applyFill="1" applyBorder="1" applyAlignment="1">
      <x:alignment horizontal="center" wrapText="1"/>
    </x:xf>
    <x:xf numFmtId="0" fontId="7" fillId="2" borderId="3" xfId="0" applyNumberFormat="1" applyFont="1" applyFill="1" applyBorder="1" applyAlignment="1">
      <x:alignment horizontal="center" wrapText="1"/>
    </x:xf>
    <x:xf numFmtId="0" fontId="7" fillId="2" borderId="4" xfId="0" applyNumberFormat="1" applyFont="1" applyFill="1" applyBorder="1" applyAlignment="1">
      <x:alignment horizontal="center" wrapText="1"/>
    </x:xf>
    <x:xf numFmtId="0" fontId="7" fillId="2" borderId="5" xfId="0" applyNumberFormat="1" applyFont="1" applyFill="1" applyBorder="1" applyAlignment="1">
      <x:alignment horizontal="center" wrapText="1"/>
    </x:xf>
    <x:xf numFmtId="0" fontId="7" fillId="2" borderId="0" xfId="0" applyNumberFormat="1" applyFont="1" applyFill="1" applyBorder="1" applyAlignment="1">
      <x:alignment horizontal="center" wrapText="1"/>
    </x:xf>
    <x:xf numFmtId="0" fontId="7" fillId="2" borderId="6" xfId="0" applyNumberFormat="1" applyFont="1" applyFill="1" applyBorder="1" applyAlignment="1">
      <x:alignment horizontal="center" wrapText="1"/>
    </x:xf>
    <x:xf numFmtId="0" fontId="7" fillId="2" borderId="7" xfId="0" applyNumberFormat="1" applyFont="1" applyFill="1" applyBorder="1" applyAlignment="1">
      <x:alignment horizontal="center" wrapText="1"/>
    </x:xf>
    <x:xf numFmtId="0" fontId="7" fillId="2" borderId="8" xfId="0" applyNumberFormat="1" applyFont="1" applyFill="1" applyBorder="1" applyAlignment="1">
      <x:alignment horizontal="center" wrapText="1"/>
    </x:xf>
    <x:xf numFmtId="0" fontId="7" fillId="2" borderId="9" xfId="0" applyNumberFormat="1" applyFont="1" applyFill="1" applyBorder="1" applyAlignment="1">
      <x:alignment horizontal="center" wrapText="1"/>
    </x:xf>
    <x:xf numFmtId="0" fontId="7" fillId="2" borderId="2" xfId="0" applyNumberFormat="1" applyFont="1" applyFill="1" applyBorder="1" applyAlignment="1">
      <x:alignment horizontal="center" vertical="center" wrapText="1"/>
    </x:xf>
    <x:xf numFmtId="0" fontId="7" fillId="2" borderId="3" xfId="0" applyNumberFormat="1" applyFont="1" applyFill="1" applyBorder="1" applyAlignment="1">
      <x:alignment horizontal="center" vertical="center" wrapText="1"/>
    </x:xf>
    <x:xf numFmtId="0" fontId="7" fillId="2" borderId="4" xfId="0" applyNumberFormat="1" applyFont="1" applyFill="1" applyBorder="1" applyAlignment="1">
      <x:alignment horizontal="center" vertical="center" wrapText="1"/>
    </x:xf>
    <x:xf numFmtId="0" fontId="7" fillId="2" borderId="5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7" fillId="2" borderId="6" xfId="0" applyNumberFormat="1" applyFont="1" applyFill="1" applyBorder="1" applyAlignment="1">
      <x:alignment horizontal="center" vertical="center" wrapText="1"/>
    </x:xf>
    <x:xf numFmtId="0" fontId="7" fillId="2" borderId="7" xfId="0" applyNumberFormat="1" applyFont="1" applyFill="1" applyBorder="1" applyAlignment="1">
      <x:alignment horizontal="center" vertical="center" wrapText="1"/>
    </x:xf>
    <x:xf numFmtId="0" fontId="7" fillId="2" borderId="8" xfId="0" applyNumberFormat="1" applyFont="1" applyFill="1" applyBorder="1" applyAlignment="1">
      <x:alignment horizontal="center" vertical="center" wrapText="1"/>
    </x:xf>
    <x:xf numFmtId="0" fontId="7" fillId="2" borderId="9" xfId="0" applyNumberFormat="1" applyFont="1" applyFill="1" applyBorder="1" applyAlignment="1">
      <x:alignment horizontal="center" vertical="center" wrapText="1"/>
    </x:xf>
    <x:xf numFmtId="0" fontId="2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2" xfId="0" applyNumberFormat="1" applyFont="1" applyFill="1" applyBorder="1"/>
    <x:xf numFmtId="0" fontId="7" fillId="6" borderId="3" xfId="0" applyNumberFormat="1" applyFont="1" applyFill="1" applyBorder="1"/>
    <x:xf numFmtId="0" fontId="7" fillId="6" borderId="4" xfId="0" applyNumberFormat="1" applyFont="1" applyFill="1" applyBorder="1"/>
    <x:xf numFmtId="0" fontId="7" fillId="6" borderId="5" xfId="0" applyNumberFormat="1" applyFont="1" applyFill="1" applyBorder="1"/>
    <x:xf numFmtId="0" fontId="7" fillId="6" borderId="6" xfId="0" applyNumberFormat="1" applyFont="1" applyFill="1" applyBorder="1"/>
    <x:xf numFmtId="0" fontId="7" fillId="6" borderId="7" xfId="0" applyNumberFormat="1" applyFont="1" applyFill="1" applyBorder="1"/>
    <x:xf numFmtId="0" fontId="7" fillId="6" borderId="8" xfId="0" applyNumberFormat="1" applyFont="1" applyFill="1" applyBorder="1"/>
    <x:xf numFmtId="0" fontId="7" fillId="6" borderId="9" xfId="0" applyNumberFormat="1" applyFont="1" applyFill="1" applyBorder="1"/>
    <x:xf numFmtId="0" fontId="7" fillId="6" borderId="2" xfId="0" applyNumberFormat="1" applyFont="1" applyFill="1" applyBorder="1" applyAlignment="1">
      <x:alignment wrapText="1"/>
    </x:xf>
    <x:xf numFmtId="0" fontId="7" fillId="6" borderId="3" xfId="0" applyNumberFormat="1" applyFont="1" applyFill="1" applyBorder="1" applyAlignment="1">
      <x:alignment wrapText="1"/>
    </x:xf>
    <x:xf numFmtId="0" fontId="7" fillId="6" borderId="4" xfId="0" applyNumberFormat="1" applyFont="1" applyFill="1" applyBorder="1" applyAlignment="1">
      <x:alignment wrapText="1"/>
    </x:xf>
    <x:xf numFmtId="0" fontId="7" fillId="6" borderId="5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7" fillId="6" borderId="6" xfId="0" applyNumberFormat="1" applyFont="1" applyFill="1" applyBorder="1" applyAlignment="1">
      <x:alignment wrapText="1"/>
    </x:xf>
    <x:xf numFmtId="0" fontId="7" fillId="6" borderId="7" xfId="0" applyNumberFormat="1" applyFont="1" applyFill="1" applyBorder="1" applyAlignment="1">
      <x:alignment wrapText="1"/>
    </x:xf>
    <x:xf numFmtId="0" fontId="7" fillId="6" borderId="8" xfId="0" applyNumberFormat="1" applyFont="1" applyFill="1" applyBorder="1" applyAlignment="1">
      <x:alignment wrapText="1"/>
    </x:xf>
    <x:xf numFmtId="0" fontId="7" fillId="6" borderId="9" xfId="0" applyNumberFormat="1" applyFont="1" applyFill="1" applyBorder="1" applyAlignment="1">
      <x:alignment wrapText="1"/>
    </x:xf>
    <x:xf numFmtId="0" fontId="7" fillId="6" borderId="2" xfId="0" applyNumberFormat="1" applyFont="1" applyFill="1" applyBorder="1" applyAlignment="1">
      <x:alignment horizontal="center" wrapText="1"/>
    </x:xf>
    <x:xf numFmtId="0" fontId="7" fillId="6" borderId="3" xfId="0" applyNumberFormat="1" applyFont="1" applyFill="1" applyBorder="1" applyAlignment="1">
      <x:alignment horizontal="center" wrapText="1"/>
    </x:xf>
    <x:xf numFmtId="0" fontId="7" fillId="6" borderId="4" xfId="0" applyNumberFormat="1" applyFont="1" applyFill="1" applyBorder="1" applyAlignment="1">
      <x:alignment horizontal="center" wrapText="1"/>
    </x:xf>
    <x:xf numFmtId="0" fontId="7" fillId="6" borderId="5" xfId="0" applyNumberFormat="1" applyFont="1" applyFill="1" applyBorder="1" applyAlignment="1">
      <x:alignment horizontal="center" wrapText="1"/>
    </x:xf>
    <x:xf numFmtId="0" fontId="7" fillId="6" borderId="0" xfId="0" applyNumberFormat="1" applyFont="1" applyFill="1" applyBorder="1" applyAlignment="1">
      <x:alignment horizontal="center" wrapText="1"/>
    </x:xf>
    <x:xf numFmtId="0" fontId="7" fillId="6" borderId="6" xfId="0" applyNumberFormat="1" applyFont="1" applyFill="1" applyBorder="1" applyAlignment="1">
      <x:alignment horizontal="center" wrapText="1"/>
    </x:xf>
    <x:xf numFmtId="0" fontId="7" fillId="6" borderId="7" xfId="0" applyNumberFormat="1" applyFont="1" applyFill="1" applyBorder="1" applyAlignment="1">
      <x:alignment horizontal="center" wrapText="1"/>
    </x:xf>
    <x:xf numFmtId="0" fontId="7" fillId="6" borderId="8" xfId="0" applyNumberFormat="1" applyFont="1" applyFill="1" applyBorder="1" applyAlignment="1">
      <x:alignment horizontal="center" wrapText="1"/>
    </x:xf>
    <x:xf numFmtId="0" fontId="7" fillId="6" borderId="9" xfId="0" applyNumberFormat="1" applyFont="1" applyFill="1" applyBorder="1" applyAlignment="1">
      <x:alignment horizontal="center" wrapText="1"/>
    </x:xf>
    <x:xf numFmtId="0" fontId="7" fillId="6" borderId="2" xfId="0" applyNumberFormat="1" applyFont="1" applyFill="1" applyBorder="1" applyAlignment="1">
      <x:alignment horizontal="center" vertical="center" wrapText="1"/>
    </x:xf>
    <x:xf numFmtId="0" fontId="7" fillId="6" borderId="3" xfId="0" applyNumberFormat="1" applyFont="1" applyFill="1" applyBorder="1" applyAlignment="1">
      <x:alignment horizontal="center" vertical="center" wrapText="1"/>
    </x:xf>
    <x:xf numFmtId="0" fontId="7" fillId="6" borderId="4" xfId="0" applyNumberFormat="1" applyFont="1" applyFill="1" applyBorder="1" applyAlignment="1">
      <x:alignment horizontal="center" vertical="center" wrapText="1"/>
    </x:xf>
    <x:xf numFmtId="0" fontId="7" fillId="6" borderId="5" xfId="0" applyNumberFormat="1" applyFont="1" applyFill="1" applyBorder="1" applyAlignment="1">
      <x:alignment horizontal="center" vertical="center" wrapText="1"/>
    </x:xf>
    <x:xf numFmtId="0" fontId="7" fillId="6" borderId="0" xfId="0" applyNumberFormat="1" applyFont="1" applyFill="1" applyBorder="1" applyAlignment="1">
      <x:alignment horizontal="center" vertical="center" wrapText="1"/>
    </x:xf>
    <x:xf numFmtId="0" fontId="7" fillId="6" borderId="6" xfId="0" applyNumberFormat="1" applyFont="1" applyFill="1" applyBorder="1" applyAlignment="1">
      <x:alignment horizontal="center" vertical="center" wrapText="1"/>
    </x:xf>
    <x:xf numFmtId="0" fontId="7" fillId="6" borderId="7" xfId="0" applyNumberFormat="1" applyFont="1" applyFill="1" applyBorder="1" applyAlignment="1">
      <x:alignment horizontal="center" vertical="center" wrapText="1"/>
    </x:xf>
    <x:xf numFmtId="0" fontId="7" fillId="6" borderId="8" xfId="0" applyNumberFormat="1" applyFont="1" applyFill="1" applyBorder="1" applyAlignment="1">
      <x:alignment horizontal="center" vertical="center" wrapText="1"/>
    </x:xf>
    <x:xf numFmtId="0" fontId="7" fillId="6" borderId="9" xfId="0" applyNumberFormat="1" applyFont="1" applyFill="1" applyBorder="1" applyAlignment="1">
      <x:alignment horizontal="center" vertical="center" wrapText="1"/>
    </x:xf>
    <x:xf numFmtId="0" fontId="2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2" xfId="0" applyNumberFormat="1" applyFont="1" applyFill="1" applyBorder="1"/>
    <x:xf numFmtId="0" fontId="7" fillId="7" borderId="3" xfId="0" applyNumberFormat="1" applyFont="1" applyFill="1" applyBorder="1"/>
    <x:xf numFmtId="0" fontId="7" fillId="7" borderId="4" xfId="0" applyNumberFormat="1" applyFont="1" applyFill="1" applyBorder="1"/>
    <x:xf numFmtId="0" fontId="7" fillId="7" borderId="5" xfId="0" applyNumberFormat="1" applyFont="1" applyFill="1" applyBorder="1"/>
    <x:xf numFmtId="0" fontId="7" fillId="7" borderId="6" xfId="0" applyNumberFormat="1" applyFont="1" applyFill="1" applyBorder="1"/>
    <x:xf numFmtId="0" fontId="7" fillId="7" borderId="7" xfId="0" applyNumberFormat="1" applyFont="1" applyFill="1" applyBorder="1"/>
    <x:xf numFmtId="0" fontId="7" fillId="7" borderId="8" xfId="0" applyNumberFormat="1" applyFont="1" applyFill="1" applyBorder="1"/>
    <x:xf numFmtId="0" fontId="7" fillId="7" borderId="9" xfId="0" applyNumberFormat="1" applyFont="1" applyFill="1" applyBorder="1"/>
    <x:xf numFmtId="0" fontId="7" fillId="7" borderId="2" xfId="0" applyNumberFormat="1" applyFont="1" applyFill="1" applyBorder="1" applyAlignment="1">
      <x:alignment wrapText="1"/>
    </x:xf>
    <x:xf numFmtId="0" fontId="7" fillId="7" borderId="3" xfId="0" applyNumberFormat="1" applyFont="1" applyFill="1" applyBorder="1" applyAlignment="1">
      <x:alignment wrapText="1"/>
    </x:xf>
    <x:xf numFmtId="0" fontId="7" fillId="7" borderId="4" xfId="0" applyNumberFormat="1" applyFont="1" applyFill="1" applyBorder="1" applyAlignment="1">
      <x:alignment wrapText="1"/>
    </x:xf>
    <x:xf numFmtId="0" fontId="7" fillId="7" borderId="5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0" fontId="7" fillId="7" borderId="6" xfId="0" applyNumberFormat="1" applyFont="1" applyFill="1" applyBorder="1" applyAlignment="1">
      <x:alignment wrapText="1"/>
    </x:xf>
    <x:xf numFmtId="0" fontId="7" fillId="7" borderId="7" xfId="0" applyNumberFormat="1" applyFont="1" applyFill="1" applyBorder="1" applyAlignment="1">
      <x:alignment wrapText="1"/>
    </x:xf>
    <x:xf numFmtId="0" fontId="7" fillId="7" borderId="8" xfId="0" applyNumberFormat="1" applyFont="1" applyFill="1" applyBorder="1" applyAlignment="1">
      <x:alignment wrapText="1"/>
    </x:xf>
    <x:xf numFmtId="0" fontId="7" fillId="7" borderId="9" xfId="0" applyNumberFormat="1" applyFont="1" applyFill="1" applyBorder="1" applyAlignment="1">
      <x:alignment wrapText="1"/>
    </x:xf>
    <x:xf numFmtId="0" fontId="7" fillId="7" borderId="2" xfId="0" applyNumberFormat="1" applyFont="1" applyFill="1" applyBorder="1" applyAlignment="1">
      <x:alignment horizontal="center" wrapText="1"/>
    </x:xf>
    <x:xf numFmtId="0" fontId="7" fillId="7" borderId="3" xfId="0" applyNumberFormat="1" applyFont="1" applyFill="1" applyBorder="1" applyAlignment="1">
      <x:alignment horizontal="center" wrapText="1"/>
    </x:xf>
    <x:xf numFmtId="0" fontId="7" fillId="7" borderId="4" xfId="0" applyNumberFormat="1" applyFont="1" applyFill="1" applyBorder="1" applyAlignment="1">
      <x:alignment horizontal="center" wrapText="1"/>
    </x:xf>
    <x:xf numFmtId="0" fontId="7" fillId="7" borderId="5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6" xfId="0" applyNumberFormat="1" applyFont="1" applyFill="1" applyBorder="1" applyAlignment="1">
      <x:alignment horizontal="center" wrapText="1"/>
    </x:xf>
    <x:xf numFmtId="0" fontId="7" fillId="7" borderId="7" xfId="0" applyNumberFormat="1" applyFont="1" applyFill="1" applyBorder="1" applyAlignment="1">
      <x:alignment horizontal="center" wrapText="1"/>
    </x:xf>
    <x:xf numFmtId="0" fontId="7" fillId="7" borderId="8" xfId="0" applyNumberFormat="1" applyFont="1" applyFill="1" applyBorder="1" applyAlignment="1">
      <x:alignment horizontal="center" wrapText="1"/>
    </x:xf>
    <x:xf numFmtId="0" fontId="7" fillId="7" borderId="9" xfId="0" applyNumberFormat="1" applyFont="1" applyFill="1" applyBorder="1" applyAlignment="1">
      <x:alignment horizontal="center" wrapText="1"/>
    </x:xf>
    <x:xf numFmtId="0" fontId="7" fillId="7" borderId="2" xfId="0" applyNumberFormat="1" applyFont="1" applyFill="1" applyBorder="1" applyAlignment="1">
      <x:alignment horizontal="center" vertical="center" wrapText="1"/>
    </x:xf>
    <x:xf numFmtId="0" fontId="7" fillId="7" borderId="3" xfId="0" applyNumberFormat="1" applyFont="1" applyFill="1" applyBorder="1" applyAlignment="1">
      <x:alignment horizontal="center" vertical="center" wrapText="1"/>
    </x:xf>
    <x:xf numFmtId="0" fontId="7" fillId="7" borderId="4" xfId="0" applyNumberFormat="1" applyFont="1" applyFill="1" applyBorder="1" applyAlignment="1">
      <x:alignment horizontal="center" vertical="center" wrapText="1"/>
    </x:xf>
    <x:xf numFmtId="0" fontId="7" fillId="7" borderId="5" xfId="0" applyNumberFormat="1" applyFont="1" applyFill="1" applyBorder="1" applyAlignment="1">
      <x:alignment horizontal="center" vertic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7" fillId="7" borderId="6" xfId="0" applyNumberFormat="1" applyFont="1" applyFill="1" applyBorder="1" applyAlignment="1">
      <x:alignment horizontal="center" vertical="center" wrapText="1"/>
    </x:xf>
    <x:xf numFmtId="0" fontId="7" fillId="7" borderId="7" xfId="0" applyNumberFormat="1" applyFont="1" applyFill="1" applyBorder="1" applyAlignment="1">
      <x:alignment horizontal="center" vertical="center" wrapText="1"/>
    </x:xf>
    <x:xf numFmtId="0" fontId="7" fillId="7" borderId="8" xfId="0" applyNumberFormat="1" applyFont="1" applyFill="1" applyBorder="1" applyAlignment="1">
      <x:alignment horizontal="center" vertical="center" wrapText="1"/>
    </x:xf>
    <x:xf numFmtId="0" fontId="7" fillId="7" borderId="9" xfId="0" applyNumberFormat="1" applyFont="1" applyFill="1" applyBorder="1" applyAlignment="1">
      <x:alignment horizontal="center" vertical="center" wrapText="1"/>
    </x:xf>
    <x:xf numFmtId="0" fontId="2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2" xfId="0" applyNumberFormat="1" applyFont="1" applyFill="1" applyBorder="1"/>
    <x:xf numFmtId="0" fontId="7" fillId="8" borderId="3" xfId="0" applyNumberFormat="1" applyFont="1" applyFill="1" applyBorder="1"/>
    <x:xf numFmtId="0" fontId="7" fillId="8" borderId="4" xfId="0" applyNumberFormat="1" applyFont="1" applyFill="1" applyBorder="1"/>
    <x:xf numFmtId="0" fontId="7" fillId="8" borderId="5" xfId="0" applyNumberFormat="1" applyFont="1" applyFill="1" applyBorder="1"/>
    <x:xf numFmtId="0" fontId="7" fillId="8" borderId="6" xfId="0" applyNumberFormat="1" applyFont="1" applyFill="1" applyBorder="1"/>
    <x:xf numFmtId="0" fontId="7" fillId="8" borderId="7" xfId="0" applyNumberFormat="1" applyFont="1" applyFill="1" applyBorder="1"/>
    <x:xf numFmtId="0" fontId="7" fillId="8" borderId="8" xfId="0" applyNumberFormat="1" applyFont="1" applyFill="1" applyBorder="1"/>
    <x:xf numFmtId="0" fontId="7" fillId="8" borderId="9" xfId="0" applyNumberFormat="1" applyFont="1" applyFill="1" applyBorder="1"/>
    <x:xf numFmtId="0" fontId="7" fillId="8" borderId="2" xfId="0" applyNumberFormat="1" applyFont="1" applyFill="1" applyBorder="1" applyAlignment="1">
      <x:alignment wrapText="1"/>
    </x:xf>
    <x:xf numFmtId="0" fontId="7" fillId="8" borderId="3" xfId="0" applyNumberFormat="1" applyFont="1" applyFill="1" applyBorder="1" applyAlignment="1">
      <x:alignment wrapText="1"/>
    </x:xf>
    <x:xf numFmtId="0" fontId="7" fillId="8" borderId="4" xfId="0" applyNumberFormat="1" applyFont="1" applyFill="1" applyBorder="1" applyAlignment="1">
      <x:alignment wrapText="1"/>
    </x:xf>
    <x:xf numFmtId="0" fontId="7" fillId="8" borderId="5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wrapText="1"/>
    </x:xf>
    <x:xf numFmtId="0" fontId="7" fillId="8" borderId="6" xfId="0" applyNumberFormat="1" applyFont="1" applyFill="1" applyBorder="1" applyAlignment="1">
      <x:alignment wrapText="1"/>
    </x:xf>
    <x:xf numFmtId="0" fontId="7" fillId="8" borderId="7" xfId="0" applyNumberFormat="1" applyFont="1" applyFill="1" applyBorder="1" applyAlignment="1">
      <x:alignment wrapText="1"/>
    </x:xf>
    <x:xf numFmtId="0" fontId="7" fillId="8" borderId="8" xfId="0" applyNumberFormat="1" applyFont="1" applyFill="1" applyBorder="1" applyAlignment="1">
      <x:alignment wrapText="1"/>
    </x:xf>
    <x:xf numFmtId="0" fontId="7" fillId="8" borderId="9" xfId="0" applyNumberFormat="1" applyFont="1" applyFill="1" applyBorder="1" applyAlignment="1">
      <x:alignment wrapText="1"/>
    </x:xf>
    <x:xf numFmtId="0" fontId="7" fillId="8" borderId="2" xfId="0" applyNumberFormat="1" applyFont="1" applyFill="1" applyBorder="1" applyAlignment="1">
      <x:alignment horizontal="center" wrapText="1"/>
    </x:xf>
    <x:xf numFmtId="0" fontId="7" fillId="8" borderId="3" xfId="0" applyNumberFormat="1" applyFont="1" applyFill="1" applyBorder="1" applyAlignment="1">
      <x:alignment horizontal="center" wrapText="1"/>
    </x:xf>
    <x:xf numFmtId="0" fontId="7" fillId="8" borderId="4" xfId="0" applyNumberFormat="1" applyFont="1" applyFill="1" applyBorder="1" applyAlignment="1">
      <x:alignment horizontal="center" wrapText="1"/>
    </x:xf>
    <x:xf numFmtId="0" fontId="7" fillId="8" borderId="5" xfId="0" applyNumberFormat="1" applyFont="1" applyFill="1" applyBorder="1" applyAlignment="1">
      <x:alignment horizontal="center" wrapText="1"/>
    </x:xf>
    <x:xf numFmtId="0" fontId="7" fillId="8" borderId="0" xfId="0" applyNumberFormat="1" applyFont="1" applyFill="1" applyBorder="1" applyAlignment="1">
      <x:alignment horizontal="center" wrapText="1"/>
    </x:xf>
    <x:xf numFmtId="0" fontId="7" fillId="8" borderId="6" xfId="0" applyNumberFormat="1" applyFont="1" applyFill="1" applyBorder="1" applyAlignment="1">
      <x:alignment horizontal="center" wrapText="1"/>
    </x:xf>
    <x:xf numFmtId="0" fontId="7" fillId="8" borderId="7" xfId="0" applyNumberFormat="1" applyFont="1" applyFill="1" applyBorder="1" applyAlignment="1">
      <x:alignment horizontal="center" wrapText="1"/>
    </x:xf>
    <x:xf numFmtId="0" fontId="7" fillId="8" borderId="8" xfId="0" applyNumberFormat="1" applyFont="1" applyFill="1" applyBorder="1" applyAlignment="1">
      <x:alignment horizontal="center" wrapText="1"/>
    </x:xf>
    <x:xf numFmtId="0" fontId="7" fillId="8" borderId="9" xfId="0" applyNumberFormat="1" applyFont="1" applyFill="1" applyBorder="1" applyAlignment="1">
      <x:alignment horizontal="center" wrapText="1"/>
    </x:xf>
    <x:xf numFmtId="0" fontId="7" fillId="8" borderId="2" xfId="0" applyNumberFormat="1" applyFont="1" applyFill="1" applyBorder="1" applyAlignment="1">
      <x:alignment horizontal="center" vertical="center" wrapText="1"/>
    </x:xf>
    <x:xf numFmtId="0" fontId="7" fillId="8" borderId="3" xfId="0" applyNumberFormat="1" applyFont="1" applyFill="1" applyBorder="1" applyAlignment="1">
      <x:alignment horizontal="center" vertical="center" wrapText="1"/>
    </x:xf>
    <x:xf numFmtId="0" fontId="7" fillId="8" borderId="4" xfId="0" applyNumberFormat="1" applyFont="1" applyFill="1" applyBorder="1" applyAlignment="1">
      <x:alignment horizontal="center" vertical="center" wrapText="1"/>
    </x:xf>
    <x:xf numFmtId="0" fontId="7" fillId="8" borderId="5" xfId="0" applyNumberFormat="1" applyFont="1" applyFill="1" applyBorder="1" applyAlignment="1">
      <x:alignment horizontal="center" vertic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7" fillId="8" borderId="6" xfId="0" applyNumberFormat="1" applyFont="1" applyFill="1" applyBorder="1" applyAlignment="1">
      <x:alignment horizontal="center" vertical="center" wrapText="1"/>
    </x:xf>
    <x:xf numFmtId="0" fontId="7" fillId="8" borderId="7" xfId="0" applyNumberFormat="1" applyFont="1" applyFill="1" applyBorder="1" applyAlignment="1">
      <x:alignment horizontal="center" vertical="center" wrapText="1"/>
    </x:xf>
    <x:xf numFmtId="0" fontId="7" fillId="8" borderId="8" xfId="0" applyNumberFormat="1" applyFont="1" applyFill="1" applyBorder="1" applyAlignment="1">
      <x:alignment horizontal="center" vertical="center" wrapText="1"/>
    </x:xf>
    <x:xf numFmtId="0" fontId="7" fillId="8" borderId="9" xfId="0" applyNumberFormat="1" applyFont="1" applyFill="1" applyBorder="1" applyAlignment="1">
      <x:alignment horizontal="center" vertical="center" wrapText="1"/>
    </x:xf>
    <x:xf numFmtId="0" fontId="5" fillId="4" borderId="1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D95D5D"/>
      </x:font>
      <x:fill>
        <x:patternFill patternType="solid">
          <x:bgColor rgb="FFFC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0b579563594e9a" /><Relationship Type="http://schemas.openxmlformats.org/officeDocument/2006/relationships/theme" Target="/xl/theme/theme1.xml" Id="Rf880014d8e1b488f" /><Relationship Type="http://schemas.openxmlformats.org/officeDocument/2006/relationships/sharedStrings" Target="/xl/sharedStrings.xml" Id="R296d9d99ee144cae" /><Relationship Type="http://schemas.openxmlformats.org/officeDocument/2006/relationships/worksheet" Target="/xl/worksheets/sheet1.xml" Id="R7414be3f20e649e7" /><Relationship Type="http://schemas.openxmlformats.org/officeDocument/2006/relationships/worksheet" Target="/xl/worksheets/sheet2.xml" Id="Re4563d1550e44ecf" /><Relationship Type="http://schemas.openxmlformats.org/officeDocument/2006/relationships/worksheet" Target="/xl/worksheets/sheet3.xml" Id="R587400816cc0483d" /><Relationship Type="http://schemas.openxmlformats.org/officeDocument/2006/relationships/worksheet" Target="/xl/worksheets/sheet4.xml" Id="R989868909f584d2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41af9af474c478b" /><Relationship Type="http://schemas.openxmlformats.org/officeDocument/2006/relationships/chart" Target="/xl/drawings/charts/chart2.xml" Id="R714fd51bf6954051" /><Relationship Type="http://schemas.openxmlformats.org/officeDocument/2006/relationships/chart" Target="/xl/drawings/charts/chart3.xml" Id="Rafe02a2fbfd0480e" /><Relationship Type="http://schemas.openxmlformats.org/officeDocument/2006/relationships/chart" Target="/xl/drawings/charts/chart4.xml" Id="R819798855094464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Primary Ticket Drivers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Tickets</c:v>
          </c:tx>
          <c:cat>
            <c:strRef>
              <c:f>'Analysis'!$A$2:$A$7</c:f>
              <c:strCache>
                <c:ptCount val="0"/>
              </c:strCache>
            </c:strRef>
          </c:cat>
          <c:val>
            <c:numRef>
              <c:f>'Analysis'!$B$2:$B$7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Priority Mix</a:t>
            </a:r>
          </a:p>
        </c:rich>
      </c:tx>
      <c:overlay val="0"/>
    </c:title>
    <c:plotArea>
      <c:doughnutChart>
        <c:ser>
          <c:idx val="0"/>
          <c:order val="0"/>
          <c:tx>
            <c:v>Tickets</c:v>
          </c:tx>
          <c:cat>
            <c:strRef>
              <c:f>'Analysis'!$D$2:$D$4</c:f>
              <c:strCache>
                <c:ptCount val="0"/>
              </c:strCache>
            </c:strRef>
          </c:cat>
          <c:val>
            <c:numRef>
              <c:f>'Analysis'!$E$2:$E$4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Service Mix</a:t>
            </a:r>
          </a:p>
        </c:rich>
      </c:tx>
      <c:overlay val="0"/>
    </c:title>
    <c:plotArea>
      <c:doughnutChart>
        <c:ser>
          <c:idx val="0"/>
          <c:order val="0"/>
          <c:tx>
            <c:v>Tickets</c:v>
          </c:tx>
          <c:cat>
            <c:strRef>
              <c:f>'Analysis'!$G$2:$G$5</c:f>
              <c:strCache>
                <c:ptCount val="0"/>
              </c:strCache>
            </c:strRef>
          </c:cat>
          <c:val>
            <c:numRef>
              <c:f>'Analysis'!$H$2:$H$5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Tickets by Month</a:t>
            </a:r>
          </a:p>
        </c:rich>
      </c:tx>
      <c:overlay val="0"/>
    </c:title>
    <c:plotArea>
      <c:areaChart>
        <c:ser>
          <c:idx val="0"/>
          <c:order val="0"/>
          <c:tx>
            <c:v>Tickets</c:v>
          </c:tx>
          <c:cat>
            <c:strRef>
              <c:f>'Analysis'!$A$11:$A$22</c:f>
              <c:strCache>
                <c:ptCount val="0"/>
              </c:strCache>
            </c:strRef>
          </c:cat>
          <c:val>
            <c:numRef>
              <c:f>'Analysis'!$B$11:$B$22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area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12</xdr:row>
      <xdr:rowOff>0</xdr:rowOff>
    </xdr:from>
    <xdr:to>
      <xdr:col>6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1af9af474c478b"/>
        </a:graphicData>
      </a:graphic>
    </xdr:graphicFrame>
    <xdr:clientData/>
  </xdr:twoCellAnchor>
  <xdr:twoCellAnchor>
    <xdr:from>
      <xdr:col>6</xdr:col>
      <xdr:colOff>0</xdr:colOff>
      <xdr:row>12</xdr:row>
      <xdr:rowOff>0</xdr:rowOff>
    </xdr:from>
    <xdr:to>
      <xdr:col>11</xdr:col>
      <xdr:colOff>0</xdr:colOff>
      <xdr:row>23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14fd51bf6954051"/>
        </a:graphicData>
      </a:graphic>
    </xdr:graphicFrame>
    <xdr:clientData/>
  </xdr:twoCellAnchor>
  <xdr:twoCellAnchor>
    <xdr:from>
      <xdr:col>11</xdr:col>
      <xdr:colOff>0</xdr:colOff>
      <xdr:row>12</xdr:row>
      <xdr:rowOff>0</xdr:rowOff>
    </xdr:from>
    <xdr:to>
      <xdr:col>15</xdr:col>
      <xdr:colOff>0</xdr:colOff>
      <xdr:row>23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e02a2fbfd0480e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15</xdr:col>
      <xdr:colOff>0</xdr:colOff>
      <xdr:row>35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9798855094464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elecomTickets" displayName="TelecomTickets" ref="A1:L501" headerRowCount="1" totalsRowCount="0" totalsRowShown="0">
  <x:tableColumns count="12">
    <x:tableColumn id="1" name="Ticket_ID"/>
    <x:tableColumn id="2" name="Month"/>
    <x:tableColumn id="3" name="Status"/>
    <x:tableColumn id="4" name="Service_Type"/>
    <x:tableColumn id="5" name="Region"/>
    <x:tableColumn id="6" name="Priority"/>
    <x:tableColumn id="7" name="Issue_Type"/>
    <x:tableColumn id="8" name="Response_Hours"/>
    <x:tableColumn id="9" name="Resolution_Hours"/>
    <x:tableColumn id="10" name="Customer_Rating"/>
    <x:tableColumn id="11" name="Channel"/>
    <x:tableColumn id="12" name="Technici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7d60457e5674b3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1aab86a5a344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3" hidden="0" customWidth="1"/>
  </x:cols>
  <x:sheetData>
    <x:row r="1">
      <x:c r="A1" s="7" t="str">
        <x:v>Telecom Service Operations Dashboard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</x:row>
    <x:row r="2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>
      <x:c r="A3" s="9" t="str">
        <x:v>Ticket demand, response and resolution performance, SLA compliance, customer experience, and service drivers | Synthetic portfolio data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</x:row>
    <x:row r="4">
      <x:c r="A4" s="4"/>
      <x:c r="B4" s="11" t="str">
        <x:v>Month</x:v>
      </x:c>
      <x:c r="C4" s="11"/>
      <x:c r="D4" s="11" t="str">
        <x:v>Status</x:v>
      </x:c>
      <x:c r="E4" s="11"/>
      <x:c r="F4" s="11" t="str">
        <x:v>Service Type</x:v>
      </x:c>
      <x:c r="G4" s="11"/>
      <x:c r="H4" s="11" t="str">
        <x:v>Region</x:v>
      </x:c>
      <x:c r="I4" s="11"/>
      <x:c r="J4" s="11" t="str">
        <x:v>Priority</x:v>
      </x:c>
      <x:c r="K4" s="11"/>
      <x:c r="L4" s="11" t="str">
        <x:v>Issue Type</x:v>
      </x:c>
      <x:c r="M4" s="11"/>
      <x:c r="N4" s="11"/>
      <x:c r="O4" s="11"/>
      <x:c r="P4" s="4"/>
    </x:row>
    <x:row r="5">
      <x:c r="A5" s="4"/>
      <x:c r="B5" s="15" t="str">
        <x:v>All</x:v>
      </x:c>
      <x:c r="C5" s="15"/>
      <x:c r="D5" s="15" t="str">
        <x:v>All</x:v>
      </x:c>
      <x:c r="E5" s="15"/>
      <x:c r="F5" s="15" t="str">
        <x:v>All</x:v>
      </x:c>
      <x:c r="G5" s="15"/>
      <x:c r="H5" s="15" t="str">
        <x:v>All</x:v>
      </x:c>
      <x:c r="I5" s="15"/>
      <x:c r="J5" s="15" t="str">
        <x:v>All</x:v>
      </x:c>
      <x:c r="K5" s="15"/>
      <x:c r="L5" s="15" t="str">
        <x:v>All</x:v>
      </x:c>
      <x:c r="M5" s="15"/>
      <x:c r="N5" s="15"/>
      <x:c r="O5" s="15"/>
      <x:c r="P5" s="4"/>
    </x:row>
    <x:row r="6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</x:row>
    <x:row r="7">
      <x:c r="A7" s="4"/>
      <x:c r="B7" s="43" t="str">
        <x:f>"TOTAL TICKETS
"&amp;TEXT(SUMPRODUCT(--(('Ticket Data'!$B$2:$B$501=$B$5)+($B$5="All"))&gt;0,--(('Ticket Data'!$C$2:$C$501=$D$5)+($D$5="All"))&gt;0,--(('Ticket Data'!$D$2:$D$501=$F$5)+($F$5="All"))&gt;0,--(('Ticket Data'!$E$2:$E$501=$H$5)+($H$5="All"))&gt;0,--(('Ticket Data'!$F$2:$F$501=$J$5)+($J$5="All"))&gt;0,--(('Ticket Data'!$G$2:$G$501=$L$5)+($L$5="All"))&gt;0),"#,##0")</x:f>
        <x:v>TOTAL TICKETS
500</x:v>
      </x:c>
      <x:c r="C7" s="44"/>
      <x:c r="D7" s="45"/>
      <x:c r="E7" s="80" t="str">
        <x:f>"AVG RESPONSE
"&amp;TEXT(SUMPRODUCT(--(('Ticket Data'!$B$2:$B$501=$B$5)+($B$5="All"))&gt;0,--(('Ticket Data'!$C$2:$C$501=$D$5)+($D$5="All"))&gt;0,--(('Ticket Data'!$D$2:$D$501=$F$5)+($F$5="All"))&gt;0,--(('Ticket Data'!$E$2:$E$501=$H$5)+($H$5="All"))&gt;0,--(('Ticket Data'!$F$2:$F$501=$J$5)+($J$5="All"))&gt;0,--(('Ticket Data'!$G$2:$G$501=$L$5)+($L$5="All"))&gt;0,'Ticket Data'!$H$2:$H$501)/SUMPRODUCT(--(('Ticket Data'!$B$2:$B$501=$B$5)+($B$5="All"))&gt;0,--(('Ticket Data'!$C$2:$C$501=$D$5)+($D$5="All"))&gt;0,--(('Ticket Data'!$D$2:$D$501=$F$5)+($F$5="All"))&gt;0,--(('Ticket Data'!$E$2:$E$501=$H$5)+($H$5="All"))&gt;0,--(('Ticket Data'!$F$2:$F$501=$J$5)+($J$5="All"))&gt;0,--(('Ticket Data'!$G$2:$G$501=$L$5)+($L$5="All"))&gt;0),"0.0")&amp;" hrs"</x:f>
        <x:v>AVG RESPONSE
12.3 hrs</x:v>
      </x:c>
      <x:c r="F7" s="81"/>
      <x:c r="G7" s="82"/>
      <x:c r="H7" s="117" t="str">
        <x:f>"AVG RESOLUTION
"&amp;TEXT(SUMPRODUCT(--(('Ticket Data'!$B$2:$B$501=$B$5)+($B$5="All"))&gt;0,--(('Ticket Data'!$C$2:$C$501=$D$5)+($D$5="All"))&gt;0,--(('Ticket Data'!$D$2:$D$501=$F$5)+($F$5="All"))&gt;0,--(('Ticket Data'!$E$2:$E$501=$H$5)+($H$5="All"))&gt;0,--(('Ticket Data'!$F$2:$F$501=$J$5)+($J$5="All"))&gt;0,--(('Ticket Data'!$G$2:$G$501=$L$5)+($L$5="All"))&gt;0,'Ticket Data'!$I$2:$I$501)/SUMPRODUCT(--(('Ticket Data'!$B$2:$B$501=$B$5)+($B$5="All"))&gt;0,--(('Ticket Data'!$C$2:$C$501=$D$5)+($D$5="All"))&gt;0,--(('Ticket Data'!$D$2:$D$501=$F$5)+($F$5="All"))&gt;0,--(('Ticket Data'!$E$2:$E$501=$H$5)+($H$5="All"))&gt;0,--(('Ticket Data'!$F$2:$F$501=$J$5)+($J$5="All"))&gt;0,--(('Ticket Data'!$G$2:$G$501=$L$5)+($L$5="All"))&gt;0),"0.0")&amp;" hrs"</x:f>
        <x:v>AVG RESOLUTION
57.7 hrs</x:v>
      </x:c>
      <x:c r="I7" s="118"/>
      <x:c r="J7" s="119"/>
      <x:c r="K7" s="154" t="str">
        <x:f>"AVG RATING
"&amp;TEXT(SUMPRODUCT(--(('Ticket Data'!$B$2:$B$501=$B$5)+($B$5="All"))&gt;0,--(('Ticket Data'!$C$2:$C$501=$D$5)+($D$5="All"))&gt;0,--(('Ticket Data'!$D$2:$D$501=$F$5)+($F$5="All"))&gt;0,--(('Ticket Data'!$E$2:$E$501=$H$5)+($H$5="All"))&gt;0,--(('Ticket Data'!$F$2:$F$501=$J$5)+($J$5="All"))&gt;0,--(('Ticket Data'!$G$2:$G$501=$L$5)+($L$5="All"))&gt;0,'Ticket Data'!$J$2:$J$501)/SUMPRODUCT(--(('Ticket Data'!$B$2:$B$501=$B$5)+($B$5="All"))&gt;0,--(('Ticket Data'!$C$2:$C$501=$D$5)+($D$5="All"))&gt;0,--(('Ticket Data'!$D$2:$D$501=$F$5)+($F$5="All"))&gt;0,--(('Ticket Data'!$E$2:$E$501=$H$5)+($H$5="All"))&gt;0,--(('Ticket Data'!$F$2:$F$501=$J$5)+($J$5="All"))&gt;0,--(('Ticket Data'!$G$2:$G$501=$L$5)+($L$5="All"))&gt;0),"0.00")&amp;" / 5"</x:f>
        <x:v>AVG RATING
3.70 / 5</x:v>
      </x:c>
      <x:c r="L7" s="155"/>
      <x:c r="M7" s="156"/>
      <x:c r="N7" s="80" t="str">
        <x:f>"SLA COMPLIANCE
"&amp;TEXT(SUMPRODUCT(--(('Ticket Data'!$B$2:$B$501=$B$5)+($B$5="All"))&gt;0,--(('Ticket Data'!$C$2:$C$501=$D$5)+($D$5="All"))&gt;0,--(('Ticket Data'!$D$2:$D$501=$F$5)+($F$5="All"))&gt;0,--(('Ticket Data'!$E$2:$E$501=$H$5)+($H$5="All"))&gt;0,--(('Ticket Data'!$F$2:$F$501=$J$5)+($J$5="All"))&gt;0,--(('Ticket Data'!$G$2:$G$501=$L$5)+($L$5="All"))&gt;0,--('Ticket Data'!$H$2:$H$501&lt;=12),--('Ticket Data'!$I$2:$I$501&lt;=72))/SUMPRODUCT(--(('Ticket Data'!$B$2:$B$501=$B$5)+($B$5="All"))&gt;0,--(('Ticket Data'!$C$2:$C$501=$D$5)+($D$5="All"))&gt;0,--(('Ticket Data'!$D$2:$D$501=$F$5)+($F$5="All"))&gt;0,--(('Ticket Data'!$E$2:$E$501=$H$5)+($H$5="All"))&gt;0,--(('Ticket Data'!$F$2:$F$501=$J$5)+($J$5="All"))&gt;0,--(('Ticket Data'!$G$2:$G$501=$L$5)+($L$5="All"))&gt;0),"0%")</x:f>
        <x:v>SLA COMPLIANCE
32%</x:v>
      </x:c>
      <x:c r="O7" s="82"/>
      <x:c r="P7" s="4"/>
    </x:row>
    <x:row r="8">
      <x:c r="A8" s="4"/>
      <x:c r="B8" s="46"/>
      <x:c r="C8" s="47"/>
      <x:c r="D8" s="48"/>
      <x:c r="E8" s="83"/>
      <x:c r="F8" s="84"/>
      <x:c r="G8" s="85"/>
      <x:c r="H8" s="120"/>
      <x:c r="I8" s="121"/>
      <x:c r="J8" s="122"/>
      <x:c r="K8" s="157"/>
      <x:c r="L8" s="158"/>
      <x:c r="M8" s="159"/>
      <x:c r="N8" s="83"/>
      <x:c r="O8" s="85"/>
      <x:c r="P8" s="4"/>
    </x:row>
    <x:row r="9">
      <x:c r="A9" s="4"/>
      <x:c r="B9" s="46"/>
      <x:c r="C9" s="47"/>
      <x:c r="D9" s="48"/>
      <x:c r="E9" s="83"/>
      <x:c r="F9" s="84"/>
      <x:c r="G9" s="85"/>
      <x:c r="H9" s="120"/>
      <x:c r="I9" s="121"/>
      <x:c r="J9" s="122"/>
      <x:c r="K9" s="157"/>
      <x:c r="L9" s="158"/>
      <x:c r="M9" s="159"/>
      <x:c r="N9" s="83"/>
      <x:c r="O9" s="85"/>
      <x:c r="P9" s="4"/>
    </x:row>
    <x:row r="10">
      <x:c r="A10" s="4"/>
      <x:c r="B10" s="49"/>
      <x:c r="C10" s="50"/>
      <x:c r="D10" s="51"/>
      <x:c r="E10" s="86"/>
      <x:c r="F10" s="87"/>
      <x:c r="G10" s="88"/>
      <x:c r="H10" s="123"/>
      <x:c r="I10" s="124"/>
      <x:c r="J10" s="125"/>
      <x:c r="K10" s="160"/>
      <x:c r="L10" s="161"/>
      <x:c r="M10" s="162"/>
      <x:c r="N10" s="86"/>
      <x:c r="O10" s="88"/>
      <x:c r="P10" s="4"/>
    </x:row>
    <x:row r="1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</x:row>
    <x:row r="12">
      <x:c r="A12" s="4"/>
      <x:c r="B12" s="163" t="str">
        <x:v>Tickets by Issue Type</x:v>
      </x:c>
      <x:c r="C12" s="163"/>
      <x:c r="D12" s="163"/>
      <x:c r="E12" s="163"/>
      <x:c r="F12" s="163"/>
      <x:c r="G12" s="163" t="str">
        <x:v>Tickets by Priority</x:v>
      </x:c>
      <x:c r="H12" s="163"/>
      <x:c r="I12" s="163"/>
      <x:c r="J12" s="163"/>
      <x:c r="K12" s="163"/>
      <x:c r="L12" s="163" t="str">
        <x:v>Tickets by Service Type</x:v>
      </x:c>
      <x:c r="M12" s="163"/>
      <x:c r="N12" s="163"/>
      <x:c r="O12" s="163"/>
      <x:c r="P12" s="4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</x:row>
    <x:row r="25">
      <x:c r="A25" s="4"/>
      <x:c r="B25" s="163" t="str">
        <x:v>Monthly Ticket Trend</x:v>
      </x:c>
      <x:c r="C25" s="163"/>
      <x:c r="D25" s="163"/>
      <x:c r="E25" s="163"/>
      <x:c r="F25" s="163"/>
      <x:c r="G25" s="163"/>
      <x:c r="H25" s="163"/>
      <x:c r="I25" s="163"/>
      <x:c r="J25" s="163"/>
      <x:c r="K25" s="163"/>
      <x:c r="L25" s="163"/>
      <x:c r="M25" s="163"/>
      <x:c r="N25" s="163"/>
      <x:c r="O25" s="163"/>
      <x:c r="P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</x:row>
  </x:sheetData>
  <x:mergeCells>
    <x:mergeCell ref="A1:P2"/>
    <x:mergeCell ref="A3:P3"/>
    <x:mergeCell ref="B4:C4"/>
    <x:mergeCell ref="B5:C5"/>
    <x:mergeCell ref="D4:E4"/>
    <x:mergeCell ref="D5:E5"/>
    <x:mergeCell ref="F4:G4"/>
    <x:mergeCell ref="F5:G5"/>
    <x:mergeCell ref="H4:I4"/>
    <x:mergeCell ref="H5:I5"/>
    <x:mergeCell ref="J4:K4"/>
    <x:mergeCell ref="J5:K5"/>
    <x:mergeCell ref="L4:O4"/>
    <x:mergeCell ref="L5:O5"/>
    <x:mergeCell ref="B7:D10"/>
    <x:mergeCell ref="E7:G10"/>
    <x:mergeCell ref="H7:J10"/>
    <x:mergeCell ref="K7:M10"/>
    <x:mergeCell ref="N7:O10"/>
    <x:mergeCell ref="B12:F12"/>
    <x:mergeCell ref="G12:K12"/>
    <x:mergeCell ref="L12:O12"/>
    <x:mergeCell ref="B25:O25"/>
  </x:mergeCells>
  <x:dataValidations count="6">
    <x:dataValidation type="list" sqref="B5">
      <x:formula1>"All,Jan,Feb,Mar,Apr,May,Jun,Jul,Aug,Sep,Oct,Nov,Dec"</x:formula1>
    </x:dataValidation>
    <x:dataValidation type="list" sqref="D5">
      <x:formula1>"All,Open,In Progress,Resolved"</x:formula1>
    </x:dataValidation>
    <x:dataValidation type="list" sqref="F5">
      <x:formula1>"All,Broadband,Mobile,TV,Landline"</x:formula1>
    </x:dataValidation>
    <x:dataValidation type="list" sqref="H5">
      <x:formula1>"All,North,South,East,West"</x:formula1>
    </x:dataValidation>
    <x:dataValidation type="list" sqref="J5">
      <x:formula1>"All,Low,Medium,High"</x:formula1>
    </x:dataValidation>
    <x:dataValidation type="list" sqref="L5">
      <x:formula1>"All,Slow Internet,Installation Delay,No Signal,Billing Error,Dropped Calls,Service Outage"</x:formula1>
    </x:dataValidation>
  </x:dataValidations>
  <x:pageMargins left="0.7" right="0.7" top="0.75" bottom="0.75" header="0.3" footer="0.3"/>
  <x:drawing xmlns:r="http://schemas.openxmlformats.org/officeDocument/2006/relationships" r:id="Rb7d60457e5674b3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2" t="str">
        <x:v>Ticket_ID</x:v>
      </x:c>
      <x:c r="B1" s="2" t="str">
        <x:v>Month</x:v>
      </x:c>
      <x:c r="C1" s="2" t="str">
        <x:v>Status</x:v>
      </x:c>
      <x:c r="D1" s="2" t="str">
        <x:v>Service_Type</x:v>
      </x:c>
      <x:c r="E1" s="2" t="str">
        <x:v>Region</x:v>
      </x:c>
      <x:c r="F1" s="2" t="str">
        <x:v>Priority</x:v>
      </x:c>
      <x:c r="G1" s="2" t="str">
        <x:v>Issue_Type</x:v>
      </x:c>
      <x:c r="H1" s="2" t="str">
        <x:v>Response_Hours</x:v>
      </x:c>
      <x:c r="I1" s="2" t="str">
        <x:v>Resolution_Hours</x:v>
      </x:c>
      <x:c r="J1" s="2" t="str">
        <x:v>Customer_Rating</x:v>
      </x:c>
      <x:c r="K1" s="2" t="str">
        <x:v>Channel</x:v>
      </x:c>
      <x:c r="L1" s="2" t="str">
        <x:v>Technician</x:v>
      </x:c>
    </x:row>
    <x:row r="2">
      <x:c r="A2" t="str">
        <x:v>TS-8001</x:v>
      </x:c>
      <x:c r="B2" t="str">
        <x:v>Jan</x:v>
      </x:c>
      <x:c r="C2" t="str">
        <x:v>Open</x:v>
      </x:c>
      <x:c r="D2" t="str">
        <x:v>Broadband</x:v>
      </x:c>
      <x:c r="E2" t="str">
        <x:v>North</x:v>
      </x:c>
      <x:c r="F2" t="str">
        <x:v>Low</x:v>
      </x:c>
      <x:c r="G2" t="str">
        <x:v>Slow Internet</x:v>
      </x:c>
      <x:c r="H2" s="3" t="n">
        <x:v>1.2</x:v>
      </x:c>
      <x:c r="I2" s="3" t="n">
        <x:v>8</x:v>
      </x:c>
      <x:c r="J2" s="3" t="n">
        <x:v>2.5</x:v>
      </x:c>
      <x:c r="K2" t="str">
        <x:v>App</x:v>
      </x:c>
      <x:c r="L2" t="str">
        <x:v>Tech 1</x:v>
      </x:c>
    </x:row>
    <x:row r="3">
      <x:c r="A3" t="str">
        <x:v>TS-8002</x:v>
      </x:c>
      <x:c r="B3" t="str">
        <x:v>Feb</x:v>
      </x:c>
      <x:c r="C3" t="str">
        <x:v>Resolved</x:v>
      </x:c>
      <x:c r="D3" t="str">
        <x:v>Landline</x:v>
      </x:c>
      <x:c r="E3" t="str">
        <x:v>South</x:v>
      </x:c>
      <x:c r="F3" t="str">
        <x:v>Medium</x:v>
      </x:c>
      <x:c r="G3" t="str">
        <x:v>Service Outage</x:v>
      </x:c>
      <x:c r="H3" s="3" t="n">
        <x:v>2.5</x:v>
      </x:c>
      <x:c r="I3" s="3" t="n">
        <x:v>9.7</x:v>
      </x:c>
      <x:c r="J3" s="3" t="n">
        <x:v>3.6</x:v>
      </x:c>
      <x:c r="K3" t="str">
        <x:v>Retail</x:v>
      </x:c>
      <x:c r="L3" t="str">
        <x:v>Tech 8</x:v>
      </x:c>
    </x:row>
    <x:row r="4">
      <x:c r="A4" t="str">
        <x:v>TS-8003</x:v>
      </x:c>
      <x:c r="B4" t="str">
        <x:v>Mar</x:v>
      </x:c>
      <x:c r="C4" t="str">
        <x:v>In Progress</x:v>
      </x:c>
      <x:c r="D4" t="str">
        <x:v>TV</x:v>
      </x:c>
      <x:c r="E4" t="str">
        <x:v>East</x:v>
      </x:c>
      <x:c r="F4" t="str">
        <x:v>High</x:v>
      </x:c>
      <x:c r="G4" t="str">
        <x:v>Dropped Calls</x:v>
      </x:c>
      <x:c r="H4" s="3" t="n">
        <x:v>5.8</x:v>
      </x:c>
      <x:c r="I4" s="3" t="n">
        <x:v>19.4</x:v>
      </x:c>
      <x:c r="J4" s="3" t="n">
        <x:v>4.7</x:v>
      </x:c>
      <x:c r="K4" t="str">
        <x:v>Phone</x:v>
      </x:c>
      <x:c r="L4" t="str">
        <x:v>Tech 15</x:v>
      </x:c>
    </x:row>
    <x:row r="5">
      <x:c r="A5" t="str">
        <x:v>TS-8004</x:v>
      </x:c>
      <x:c r="B5" t="str">
        <x:v>Apr</x:v>
      </x:c>
      <x:c r="C5" t="str">
        <x:v>Open</x:v>
      </x:c>
      <x:c r="D5" t="str">
        <x:v>Mobile</x:v>
      </x:c>
      <x:c r="E5" t="str">
        <x:v>West</x:v>
      </x:c>
      <x:c r="F5" t="str">
        <x:v>Low</x:v>
      </x:c>
      <x:c r="G5" t="str">
        <x:v>Billing Error</x:v>
      </x:c>
      <x:c r="H5" s="3" t="n">
        <x:v>5.1</x:v>
      </x:c>
      <x:c r="I5" s="3" t="n">
        <x:v>13.1</x:v>
      </x:c>
      <x:c r="J5" s="3" t="n">
        <x:v>3.3</x:v>
      </x:c>
      <x:c r="K5" t="str">
        <x:v>Web</x:v>
      </x:c>
      <x:c r="L5" t="str">
        <x:v>Tech 4</x:v>
      </x:c>
    </x:row>
    <x:row r="6">
      <x:c r="A6" t="str">
        <x:v>TS-8005</x:v>
      </x:c>
      <x:c r="B6" t="str">
        <x:v>May</x:v>
      </x:c>
      <x:c r="C6" t="str">
        <x:v>Resolved</x:v>
      </x:c>
      <x:c r="D6" t="str">
        <x:v>Broadband</x:v>
      </x:c>
      <x:c r="E6" t="str">
        <x:v>North</x:v>
      </x:c>
      <x:c r="F6" t="str">
        <x:v>Medium</x:v>
      </x:c>
      <x:c r="G6" t="str">
        <x:v>No Signal</x:v>
      </x:c>
      <x:c r="H6" s="3" t="n">
        <x:v>6.4</x:v>
      </x:c>
      <x:c r="I6" s="3" t="n">
        <x:v>14.8</x:v>
      </x:c>
      <x:c r="J6" s="3" t="n">
        <x:v>4.4</x:v>
      </x:c>
      <x:c r="K6" t="str">
        <x:v>App</x:v>
      </x:c>
      <x:c r="L6" t="str">
        <x:v>Tech 11</x:v>
      </x:c>
    </x:row>
    <x:row r="7">
      <x:c r="A7" t="str">
        <x:v>TS-8006</x:v>
      </x:c>
      <x:c r="B7" t="str">
        <x:v>Jun</x:v>
      </x:c>
      <x:c r="C7" t="str">
        <x:v>In Progress</x:v>
      </x:c>
      <x:c r="D7" t="str">
        <x:v>Landline</x:v>
      </x:c>
      <x:c r="E7" t="str">
        <x:v>South</x:v>
      </x:c>
      <x:c r="F7" t="str">
        <x:v>High</x:v>
      </x:c>
      <x:c r="G7" t="str">
        <x:v>Installation Delay</x:v>
      </x:c>
      <x:c r="H7" s="3" t="n">
        <x:v>9.7</x:v>
      </x:c>
      <x:c r="I7" s="3" t="n">
        <x:v>24.5</x:v>
      </x:c>
      <x:c r="J7" s="3" t="n">
        <x:v>3</x:v>
      </x:c>
      <x:c r="K7" t="str">
        <x:v>Retail</x:v>
      </x:c>
      <x:c r="L7" t="str">
        <x:v>Tech 18</x:v>
      </x:c>
    </x:row>
    <x:row r="8">
      <x:c r="A8" t="str">
        <x:v>TS-8007</x:v>
      </x:c>
      <x:c r="B8" t="str">
        <x:v>Jul</x:v>
      </x:c>
      <x:c r="C8" t="str">
        <x:v>Open</x:v>
      </x:c>
      <x:c r="D8" t="str">
        <x:v>TV</x:v>
      </x:c>
      <x:c r="E8" t="str">
        <x:v>East</x:v>
      </x:c>
      <x:c r="F8" t="str">
        <x:v>Low</x:v>
      </x:c>
      <x:c r="G8" t="str">
        <x:v>Slow Internet</x:v>
      </x:c>
      <x:c r="H8" s="3" t="n">
        <x:v>9</x:v>
      </x:c>
      <x:c r="I8" s="3" t="n">
        <x:v>18.2</x:v>
      </x:c>
      <x:c r="J8" s="3" t="n">
        <x:v>4.1</x:v>
      </x:c>
      <x:c r="K8" t="str">
        <x:v>Phone</x:v>
      </x:c>
      <x:c r="L8" t="str">
        <x:v>Tech 7</x:v>
      </x:c>
    </x:row>
    <x:row r="9">
      <x:c r="A9" t="str">
        <x:v>TS-8008</x:v>
      </x:c>
      <x:c r="B9" t="str">
        <x:v>Aug</x:v>
      </x:c>
      <x:c r="C9" t="str">
        <x:v>Resolved</x:v>
      </x:c>
      <x:c r="D9" t="str">
        <x:v>Mobile</x:v>
      </x:c>
      <x:c r="E9" t="str">
        <x:v>West</x:v>
      </x:c>
      <x:c r="F9" t="str">
        <x:v>Medium</x:v>
      </x:c>
      <x:c r="G9" t="str">
        <x:v>Service Outage</x:v>
      </x:c>
      <x:c r="H9" s="3" t="n">
        <x:v>10.299999999999999</x:v>
      </x:c>
      <x:c r="I9" s="3" t="n">
        <x:v>19.9</x:v>
      </x:c>
      <x:c r="J9" s="3" t="n">
        <x:v>2.7</x:v>
      </x:c>
      <x:c r="K9" t="str">
        <x:v>Web</x:v>
      </x:c>
      <x:c r="L9" t="str">
        <x:v>Tech 14</x:v>
      </x:c>
    </x:row>
    <x:row r="10">
      <x:c r="A10" t="str">
        <x:v>TS-8009</x:v>
      </x:c>
      <x:c r="B10" t="str">
        <x:v>Sep</x:v>
      </x:c>
      <x:c r="C10" t="str">
        <x:v>In Progress</x:v>
      </x:c>
      <x:c r="D10" t="str">
        <x:v>Broadband</x:v>
      </x:c>
      <x:c r="E10" t="str">
        <x:v>North</x:v>
      </x:c>
      <x:c r="F10" t="str">
        <x:v>High</x:v>
      </x:c>
      <x:c r="G10" t="str">
        <x:v>Dropped Calls</x:v>
      </x:c>
      <x:c r="H10" s="3" t="n">
        <x:v>13.6</x:v>
      </x:c>
      <x:c r="I10" s="3" t="n">
        <x:v>29.6</x:v>
      </x:c>
      <x:c r="J10" s="3" t="n">
        <x:v>3.8</x:v>
      </x:c>
      <x:c r="K10" t="str">
        <x:v>App</x:v>
      </x:c>
      <x:c r="L10" t="str">
        <x:v>Tech 3</x:v>
      </x:c>
    </x:row>
    <x:row r="11">
      <x:c r="A11" t="str">
        <x:v>TS-8010</x:v>
      </x:c>
      <x:c r="B11" t="str">
        <x:v>Oct</x:v>
      </x:c>
      <x:c r="C11" t="str">
        <x:v>Open</x:v>
      </x:c>
      <x:c r="D11" t="str">
        <x:v>Landline</x:v>
      </x:c>
      <x:c r="E11" t="str">
        <x:v>South</x:v>
      </x:c>
      <x:c r="F11" t="str">
        <x:v>Low</x:v>
      </x:c>
      <x:c r="G11" t="str">
        <x:v>Billing Error</x:v>
      </x:c>
      <x:c r="H11" s="3" t="n">
        <x:v>12.899999999999999</x:v>
      </x:c>
      <x:c r="I11" s="3" t="n">
        <x:v>23.3</x:v>
      </x:c>
      <x:c r="J11" s="3" t="n">
        <x:v>4.9</x:v>
      </x:c>
      <x:c r="K11" t="str">
        <x:v>Retail</x:v>
      </x:c>
      <x:c r="L11" t="str">
        <x:v>Tech 10</x:v>
      </x:c>
    </x:row>
    <x:row r="12">
      <x:c r="A12" t="str">
        <x:v>TS-8011</x:v>
      </x:c>
      <x:c r="B12" t="str">
        <x:v>Nov</x:v>
      </x:c>
      <x:c r="C12" t="str">
        <x:v>Resolved</x:v>
      </x:c>
      <x:c r="D12" t="str">
        <x:v>TV</x:v>
      </x:c>
      <x:c r="E12" t="str">
        <x:v>East</x:v>
      </x:c>
      <x:c r="F12" t="str">
        <x:v>Medium</x:v>
      </x:c>
      <x:c r="G12" t="str">
        <x:v>No Signal</x:v>
      </x:c>
      <x:c r="H12" s="3" t="n">
        <x:v>14.2</x:v>
      </x:c>
      <x:c r="I12" s="3" t="n">
        <x:v>25</x:v>
      </x:c>
      <x:c r="J12" s="3" t="n">
        <x:v>3.5</x:v>
      </x:c>
      <x:c r="K12" t="str">
        <x:v>Phone</x:v>
      </x:c>
      <x:c r="L12" t="str">
        <x:v>Tech 17</x:v>
      </x:c>
    </x:row>
    <x:row r="13">
      <x:c r="A13" t="str">
        <x:v>TS-8012</x:v>
      </x:c>
      <x:c r="B13" t="str">
        <x:v>Dec</x:v>
      </x:c>
      <x:c r="C13" t="str">
        <x:v>In Progress</x:v>
      </x:c>
      <x:c r="D13" t="str">
        <x:v>Mobile</x:v>
      </x:c>
      <x:c r="E13" t="str">
        <x:v>West</x:v>
      </x:c>
      <x:c r="F13" t="str">
        <x:v>High</x:v>
      </x:c>
      <x:c r="G13" t="str">
        <x:v>Installation Delay</x:v>
      </x:c>
      <x:c r="H13" s="3" t="n">
        <x:v>17.5</x:v>
      </x:c>
      <x:c r="I13" s="3" t="n">
        <x:v>34.7</x:v>
      </x:c>
      <x:c r="J13" s="3" t="n">
        <x:v>4.6</x:v>
      </x:c>
      <x:c r="K13" t="str">
        <x:v>Web</x:v>
      </x:c>
      <x:c r="L13" t="str">
        <x:v>Tech 6</x:v>
      </x:c>
    </x:row>
    <x:row r="14">
      <x:c r="A14" t="str">
        <x:v>TS-8013</x:v>
      </x:c>
      <x:c r="B14" t="str">
        <x:v>Jan</x:v>
      </x:c>
      <x:c r="C14" t="str">
        <x:v>Open</x:v>
      </x:c>
      <x:c r="D14" t="str">
        <x:v>Broadband</x:v>
      </x:c>
      <x:c r="E14" t="str">
        <x:v>North</x:v>
      </x:c>
      <x:c r="F14" t="str">
        <x:v>Low</x:v>
      </x:c>
      <x:c r="G14" t="str">
        <x:v>Slow Internet</x:v>
      </x:c>
      <x:c r="H14" s="3" t="n">
        <x:v>16.8</x:v>
      </x:c>
      <x:c r="I14" s="3" t="n">
        <x:v>28.4</x:v>
      </x:c>
      <x:c r="J14" s="3" t="n">
        <x:v>3.2</x:v>
      </x:c>
      <x:c r="K14" t="str">
        <x:v>App</x:v>
      </x:c>
      <x:c r="L14" t="str">
        <x:v>Tech 13</x:v>
      </x:c>
    </x:row>
    <x:row r="15">
      <x:c r="A15" t="str">
        <x:v>TS-8014</x:v>
      </x:c>
      <x:c r="B15" t="str">
        <x:v>Feb</x:v>
      </x:c>
      <x:c r="C15" t="str">
        <x:v>Resolved</x:v>
      </x:c>
      <x:c r="D15" t="str">
        <x:v>Landline</x:v>
      </x:c>
      <x:c r="E15" t="str">
        <x:v>South</x:v>
      </x:c>
      <x:c r="F15" t="str">
        <x:v>Medium</x:v>
      </x:c>
      <x:c r="G15" t="str">
        <x:v>Service Outage</x:v>
      </x:c>
      <x:c r="H15" s="3" t="n">
        <x:v>18.099999999999998</x:v>
      </x:c>
      <x:c r="I15" s="3" t="n">
        <x:v>30.1</x:v>
      </x:c>
      <x:c r="J15" s="3" t="n">
        <x:v>4.3</x:v>
      </x:c>
      <x:c r="K15" t="str">
        <x:v>Retail</x:v>
      </x:c>
      <x:c r="L15" t="str">
        <x:v>Tech 2</x:v>
      </x:c>
    </x:row>
    <x:row r="16">
      <x:c r="A16" t="str">
        <x:v>TS-8015</x:v>
      </x:c>
      <x:c r="B16" t="str">
        <x:v>Mar</x:v>
      </x:c>
      <x:c r="C16" t="str">
        <x:v>In Progress</x:v>
      </x:c>
      <x:c r="D16" t="str">
        <x:v>TV</x:v>
      </x:c>
      <x:c r="E16" t="str">
        <x:v>East</x:v>
      </x:c>
      <x:c r="F16" t="str">
        <x:v>High</x:v>
      </x:c>
      <x:c r="G16" t="str">
        <x:v>Dropped Calls</x:v>
      </x:c>
      <x:c r="H16" s="3" t="n">
        <x:v>21.4</x:v>
      </x:c>
      <x:c r="I16" s="3" t="n">
        <x:v>39.8</x:v>
      </x:c>
      <x:c r="J16" s="3" t="n">
        <x:v>2.9</x:v>
      </x:c>
      <x:c r="K16" t="str">
        <x:v>Phone</x:v>
      </x:c>
      <x:c r="L16" t="str">
        <x:v>Tech 9</x:v>
      </x:c>
    </x:row>
    <x:row r="17">
      <x:c r="A17" t="str">
        <x:v>TS-8016</x:v>
      </x:c>
      <x:c r="B17" t="str">
        <x:v>Apr</x:v>
      </x:c>
      <x:c r="C17" t="str">
        <x:v>Open</x:v>
      </x:c>
      <x:c r="D17" t="str">
        <x:v>Mobile</x:v>
      </x:c>
      <x:c r="E17" t="str">
        <x:v>West</x:v>
      </x:c>
      <x:c r="F17" t="str">
        <x:v>Low</x:v>
      </x:c>
      <x:c r="G17" t="str">
        <x:v>Billing Error</x:v>
      </x:c>
      <x:c r="H17" s="3" t="n">
        <x:v>20.7</x:v>
      </x:c>
      <x:c r="I17" s="3" t="n">
        <x:v>33.5</x:v>
      </x:c>
      <x:c r="J17" s="3" t="n">
        <x:v>4</x:v>
      </x:c>
      <x:c r="K17" t="str">
        <x:v>Web</x:v>
      </x:c>
      <x:c r="L17" t="str">
        <x:v>Tech 16</x:v>
      </x:c>
    </x:row>
    <x:row r="18">
      <x:c r="A18" t="str">
        <x:v>TS-8017</x:v>
      </x:c>
      <x:c r="B18" t="str">
        <x:v>May</x:v>
      </x:c>
      <x:c r="C18" t="str">
        <x:v>Resolved</x:v>
      </x:c>
      <x:c r="D18" t="str">
        <x:v>Broadband</x:v>
      </x:c>
      <x:c r="E18" t="str">
        <x:v>North</x:v>
      </x:c>
      <x:c r="F18" t="str">
        <x:v>Medium</x:v>
      </x:c>
      <x:c r="G18" t="str">
        <x:v>No Signal</x:v>
      </x:c>
      <x:c r="H18" s="3" t="n">
        <x:v>22</x:v>
      </x:c>
      <x:c r="I18" s="3" t="n">
        <x:v>35.2</x:v>
      </x:c>
      <x:c r="J18" s="3" t="n">
        <x:v>2.6</x:v>
      </x:c>
      <x:c r="K18" t="str">
        <x:v>App</x:v>
      </x:c>
      <x:c r="L18" t="str">
        <x:v>Tech 5</x:v>
      </x:c>
    </x:row>
    <x:row r="19">
      <x:c r="A19" t="str">
        <x:v>TS-8018</x:v>
      </x:c>
      <x:c r="B19" t="str">
        <x:v>Jun</x:v>
      </x:c>
      <x:c r="C19" t="str">
        <x:v>In Progress</x:v>
      </x:c>
      <x:c r="D19" t="str">
        <x:v>Landline</x:v>
      </x:c>
      <x:c r="E19" t="str">
        <x:v>South</x:v>
      </x:c>
      <x:c r="F19" t="str">
        <x:v>High</x:v>
      </x:c>
      <x:c r="G19" t="str">
        <x:v>Installation Delay</x:v>
      </x:c>
      <x:c r="H19" s="3" t="n">
        <x:v>4.3</x:v>
      </x:c>
      <x:c r="I19" s="3" t="n">
        <x:v>44.9</x:v>
      </x:c>
      <x:c r="J19" s="3" t="n">
        <x:v>3.7</x:v>
      </x:c>
      <x:c r="K19" t="str">
        <x:v>Retail</x:v>
      </x:c>
      <x:c r="L19" t="str">
        <x:v>Tech 12</x:v>
      </x:c>
    </x:row>
    <x:row r="20">
      <x:c r="A20" t="str">
        <x:v>TS-8019</x:v>
      </x:c>
      <x:c r="B20" t="str">
        <x:v>Jul</x:v>
      </x:c>
      <x:c r="C20" t="str">
        <x:v>Open</x:v>
      </x:c>
      <x:c r="D20" t="str">
        <x:v>TV</x:v>
      </x:c>
      <x:c r="E20" t="str">
        <x:v>East</x:v>
      </x:c>
      <x:c r="F20" t="str">
        <x:v>Low</x:v>
      </x:c>
      <x:c r="G20" t="str">
        <x:v>Slow Internet</x:v>
      </x:c>
      <x:c r="H20" s="3" t="n">
        <x:v>3.5999999999999996</x:v>
      </x:c>
      <x:c r="I20" s="3" t="n">
        <x:v>38.6</x:v>
      </x:c>
      <x:c r="J20" s="3" t="n">
        <x:v>4.8</x:v>
      </x:c>
      <x:c r="K20" t="str">
        <x:v>Phone</x:v>
      </x:c>
      <x:c r="L20" t="str">
        <x:v>Tech 1</x:v>
      </x:c>
    </x:row>
    <x:row r="21">
      <x:c r="A21" t="str">
        <x:v>TS-8020</x:v>
      </x:c>
      <x:c r="B21" t="str">
        <x:v>Aug</x:v>
      </x:c>
      <x:c r="C21" t="str">
        <x:v>Open</x:v>
      </x:c>
      <x:c r="D21" t="str">
        <x:v>Mobile</x:v>
      </x:c>
      <x:c r="E21" t="str">
        <x:v>West</x:v>
      </x:c>
      <x:c r="F21" t="str">
        <x:v>Medium</x:v>
      </x:c>
      <x:c r="G21" t="str">
        <x:v>Service Outage</x:v>
      </x:c>
      <x:c r="H21" s="3" t="n">
        <x:v>4.9</x:v>
      </x:c>
      <x:c r="I21" s="3" t="n">
        <x:v>40.3</x:v>
      </x:c>
      <x:c r="J21" s="3" t="n">
        <x:v>3.4</x:v>
      </x:c>
      <x:c r="K21" t="str">
        <x:v>Web</x:v>
      </x:c>
      <x:c r="L21" t="str">
        <x:v>Tech 8</x:v>
      </x:c>
    </x:row>
    <x:row r="22">
      <x:c r="A22" t="str">
        <x:v>TS-8021</x:v>
      </x:c>
      <x:c r="B22" t="str">
        <x:v>Sep</x:v>
      </x:c>
      <x:c r="C22" t="str">
        <x:v>Resolved</x:v>
      </x:c>
      <x:c r="D22" t="str">
        <x:v>Broadband</x:v>
      </x:c>
      <x:c r="E22" t="str">
        <x:v>North</x:v>
      </x:c>
      <x:c r="F22" t="str">
        <x:v>High</x:v>
      </x:c>
      <x:c r="G22" t="str">
        <x:v>Dropped Calls</x:v>
      </x:c>
      <x:c r="H22" s="3" t="n">
        <x:v>8.2</x:v>
      </x:c>
      <x:c r="I22" s="3" t="n">
        <x:v>50</x:v>
      </x:c>
      <x:c r="J22" s="3" t="n">
        <x:v>4.5</x:v>
      </x:c>
      <x:c r="K22" t="str">
        <x:v>App</x:v>
      </x:c>
      <x:c r="L22" t="str">
        <x:v>Tech 15</x:v>
      </x:c>
    </x:row>
    <x:row r="23">
      <x:c r="A23" t="str">
        <x:v>TS-8022</x:v>
      </x:c>
      <x:c r="B23" t="str">
        <x:v>Oct</x:v>
      </x:c>
      <x:c r="C23" t="str">
        <x:v>In Progress</x:v>
      </x:c>
      <x:c r="D23" t="str">
        <x:v>Landline</x:v>
      </x:c>
      <x:c r="E23" t="str">
        <x:v>South</x:v>
      </x:c>
      <x:c r="F23" t="str">
        <x:v>Low</x:v>
      </x:c>
      <x:c r="G23" t="str">
        <x:v>Billing Error</x:v>
      </x:c>
      <x:c r="H23" s="3" t="n">
        <x:v>7.5</x:v>
      </x:c>
      <x:c r="I23" s="3" t="n">
        <x:v>43.7</x:v>
      </x:c>
      <x:c r="J23" s="3" t="n">
        <x:v>3.1</x:v>
      </x:c>
      <x:c r="K23" t="str">
        <x:v>Retail</x:v>
      </x:c>
      <x:c r="L23" t="str">
        <x:v>Tech 4</x:v>
      </x:c>
    </x:row>
    <x:row r="24">
      <x:c r="A24" t="str">
        <x:v>TS-8023</x:v>
      </x:c>
      <x:c r="B24" t="str">
        <x:v>Nov</x:v>
      </x:c>
      <x:c r="C24" t="str">
        <x:v>Open</x:v>
      </x:c>
      <x:c r="D24" t="str">
        <x:v>TV</x:v>
      </x:c>
      <x:c r="E24" t="str">
        <x:v>East</x:v>
      </x:c>
      <x:c r="F24" t="str">
        <x:v>Medium</x:v>
      </x:c>
      <x:c r="G24" t="str">
        <x:v>No Signal</x:v>
      </x:c>
      <x:c r="H24" s="3" t="n">
        <x:v>8.799999999999999</x:v>
      </x:c>
      <x:c r="I24" s="3" t="n">
        <x:v>45.4</x:v>
      </x:c>
      <x:c r="J24" s="3" t="n">
        <x:v>4.2</x:v>
      </x:c>
      <x:c r="K24" t="str">
        <x:v>Phone</x:v>
      </x:c>
      <x:c r="L24" t="str">
        <x:v>Tech 11</x:v>
      </x:c>
    </x:row>
    <x:row r="25">
      <x:c r="A25" t="str">
        <x:v>TS-8024</x:v>
      </x:c>
      <x:c r="B25" t="str">
        <x:v>Dec</x:v>
      </x:c>
      <x:c r="C25" t="str">
        <x:v>Resolved</x:v>
      </x:c>
      <x:c r="D25" t="str">
        <x:v>Mobile</x:v>
      </x:c>
      <x:c r="E25" t="str">
        <x:v>West</x:v>
      </x:c>
      <x:c r="F25" t="str">
        <x:v>High</x:v>
      </x:c>
      <x:c r="G25" t="str">
        <x:v>Installation Delay</x:v>
      </x:c>
      <x:c r="H25" s="3" t="n">
        <x:v>12.1</x:v>
      </x:c>
      <x:c r="I25" s="3" t="n">
        <x:v>55.1</x:v>
      </x:c>
      <x:c r="J25" s="3" t="n">
        <x:v>2.8</x:v>
      </x:c>
      <x:c r="K25" t="str">
        <x:v>Web</x:v>
      </x:c>
      <x:c r="L25" t="str">
        <x:v>Tech 18</x:v>
      </x:c>
    </x:row>
    <x:row r="26">
      <x:c r="A26" t="str">
        <x:v>TS-8025</x:v>
      </x:c>
      <x:c r="B26" t="str">
        <x:v>Jan</x:v>
      </x:c>
      <x:c r="C26" t="str">
        <x:v>In Progress</x:v>
      </x:c>
      <x:c r="D26" t="str">
        <x:v>Broadband</x:v>
      </x:c>
      <x:c r="E26" t="str">
        <x:v>North</x:v>
      </x:c>
      <x:c r="F26" t="str">
        <x:v>Low</x:v>
      </x:c>
      <x:c r="G26" t="str">
        <x:v>Slow Internet</x:v>
      </x:c>
      <x:c r="H26" s="3" t="n">
        <x:v>11.399999999999999</x:v>
      </x:c>
      <x:c r="I26" s="3" t="n">
        <x:v>48.8</x:v>
      </x:c>
      <x:c r="J26" s="3" t="n">
        <x:v>3.9</x:v>
      </x:c>
      <x:c r="K26" t="str">
        <x:v>App</x:v>
      </x:c>
      <x:c r="L26" t="str">
        <x:v>Tech 7</x:v>
      </x:c>
    </x:row>
    <x:row r="27">
      <x:c r="A27" t="str">
        <x:v>TS-8026</x:v>
      </x:c>
      <x:c r="B27" t="str">
        <x:v>Feb</x:v>
      </x:c>
      <x:c r="C27" t="str">
        <x:v>Open</x:v>
      </x:c>
      <x:c r="D27" t="str">
        <x:v>Landline</x:v>
      </x:c>
      <x:c r="E27" t="str">
        <x:v>South</x:v>
      </x:c>
      <x:c r="F27" t="str">
        <x:v>Medium</x:v>
      </x:c>
      <x:c r="G27" t="str">
        <x:v>Service Outage</x:v>
      </x:c>
      <x:c r="H27" s="3" t="n">
        <x:v>12.7</x:v>
      </x:c>
      <x:c r="I27" s="3" t="n">
        <x:v>50.5</x:v>
      </x:c>
      <x:c r="J27" s="3" t="n">
        <x:v>2.5</x:v>
      </x:c>
      <x:c r="K27" t="str">
        <x:v>Retail</x:v>
      </x:c>
      <x:c r="L27" t="str">
        <x:v>Tech 14</x:v>
      </x:c>
    </x:row>
    <x:row r="28">
      <x:c r="A28" t="str">
        <x:v>TS-8027</x:v>
      </x:c>
      <x:c r="B28" t="str">
        <x:v>Mar</x:v>
      </x:c>
      <x:c r="C28" t="str">
        <x:v>Resolved</x:v>
      </x:c>
      <x:c r="D28" t="str">
        <x:v>TV</x:v>
      </x:c>
      <x:c r="E28" t="str">
        <x:v>East</x:v>
      </x:c>
      <x:c r="F28" t="str">
        <x:v>High</x:v>
      </x:c>
      <x:c r="G28" t="str">
        <x:v>Dropped Calls</x:v>
      </x:c>
      <x:c r="H28" s="3" t="n">
        <x:v>16</x:v>
      </x:c>
      <x:c r="I28" s="3" t="n">
        <x:v>60.2</x:v>
      </x:c>
      <x:c r="J28" s="3" t="n">
        <x:v>3.6</x:v>
      </x:c>
      <x:c r="K28" t="str">
        <x:v>Phone</x:v>
      </x:c>
      <x:c r="L28" t="str">
        <x:v>Tech 3</x:v>
      </x:c>
    </x:row>
    <x:row r="29">
      <x:c r="A29" t="str">
        <x:v>TS-8028</x:v>
      </x:c>
      <x:c r="B29" t="str">
        <x:v>Apr</x:v>
      </x:c>
      <x:c r="C29" t="str">
        <x:v>In Progress</x:v>
      </x:c>
      <x:c r="D29" t="str">
        <x:v>Mobile</x:v>
      </x:c>
      <x:c r="E29" t="str">
        <x:v>West</x:v>
      </x:c>
      <x:c r="F29" t="str">
        <x:v>Low</x:v>
      </x:c>
      <x:c r="G29" t="str">
        <x:v>Billing Error</x:v>
      </x:c>
      <x:c r="H29" s="3" t="n">
        <x:v>15.299999999999999</x:v>
      </x:c>
      <x:c r="I29" s="3" t="n">
        <x:v>53.9</x:v>
      </x:c>
      <x:c r="J29" s="3" t="n">
        <x:v>4.7</x:v>
      </x:c>
      <x:c r="K29" t="str">
        <x:v>Web</x:v>
      </x:c>
      <x:c r="L29" t="str">
        <x:v>Tech 10</x:v>
      </x:c>
    </x:row>
    <x:row r="30">
      <x:c r="A30" t="str">
        <x:v>TS-8029</x:v>
      </x:c>
      <x:c r="B30" t="str">
        <x:v>May</x:v>
      </x:c>
      <x:c r="C30" t="str">
        <x:v>Open</x:v>
      </x:c>
      <x:c r="D30" t="str">
        <x:v>Broadband</x:v>
      </x:c>
      <x:c r="E30" t="str">
        <x:v>North</x:v>
      </x:c>
      <x:c r="F30" t="str">
        <x:v>Medium</x:v>
      </x:c>
      <x:c r="G30" t="str">
        <x:v>No Signal</x:v>
      </x:c>
      <x:c r="H30" s="3" t="n">
        <x:v>16.6</x:v>
      </x:c>
      <x:c r="I30" s="3" t="n">
        <x:v>55.6</x:v>
      </x:c>
      <x:c r="J30" s="3" t="n">
        <x:v>3.3</x:v>
      </x:c>
      <x:c r="K30" t="str">
        <x:v>App</x:v>
      </x:c>
      <x:c r="L30" t="str">
        <x:v>Tech 17</x:v>
      </x:c>
    </x:row>
    <x:row r="31">
      <x:c r="A31" t="str">
        <x:v>TS-8030</x:v>
      </x:c>
      <x:c r="B31" t="str">
        <x:v>Jun</x:v>
      </x:c>
      <x:c r="C31" t="str">
        <x:v>Resolved</x:v>
      </x:c>
      <x:c r="D31" t="str">
        <x:v>Landline</x:v>
      </x:c>
      <x:c r="E31" t="str">
        <x:v>South</x:v>
      </x:c>
      <x:c r="F31" t="str">
        <x:v>High</x:v>
      </x:c>
      <x:c r="G31" t="str">
        <x:v>Installation Delay</x:v>
      </x:c>
      <x:c r="H31" s="3" t="n">
        <x:v>19.9</x:v>
      </x:c>
      <x:c r="I31" s="3" t="n">
        <x:v>65.3</x:v>
      </x:c>
      <x:c r="J31" s="3" t="n">
        <x:v>4.4</x:v>
      </x:c>
      <x:c r="K31" t="str">
        <x:v>Retail</x:v>
      </x:c>
      <x:c r="L31" t="str">
        <x:v>Tech 6</x:v>
      </x:c>
    </x:row>
    <x:row r="32">
      <x:c r="A32" t="str">
        <x:v>TS-8031</x:v>
      </x:c>
      <x:c r="B32" t="str">
        <x:v>Jul</x:v>
      </x:c>
      <x:c r="C32" t="str">
        <x:v>In Progress</x:v>
      </x:c>
      <x:c r="D32" t="str">
        <x:v>TV</x:v>
      </x:c>
      <x:c r="E32" t="str">
        <x:v>East</x:v>
      </x:c>
      <x:c r="F32" t="str">
        <x:v>Low</x:v>
      </x:c>
      <x:c r="G32" t="str">
        <x:v>Slow Internet</x:v>
      </x:c>
      <x:c r="H32" s="3" t="n">
        <x:v>19.2</x:v>
      </x:c>
      <x:c r="I32" s="3" t="n">
        <x:v>59</x:v>
      </x:c>
      <x:c r="J32" s="3" t="n">
        <x:v>3</x:v>
      </x:c>
      <x:c r="K32" t="str">
        <x:v>Phone</x:v>
      </x:c>
      <x:c r="L32" t="str">
        <x:v>Tech 13</x:v>
      </x:c>
    </x:row>
    <x:row r="33">
      <x:c r="A33" t="str">
        <x:v>TS-8032</x:v>
      </x:c>
      <x:c r="B33" t="str">
        <x:v>Aug</x:v>
      </x:c>
      <x:c r="C33" t="str">
        <x:v>Open</x:v>
      </x:c>
      <x:c r="D33" t="str">
        <x:v>Mobile</x:v>
      </x:c>
      <x:c r="E33" t="str">
        <x:v>West</x:v>
      </x:c>
      <x:c r="F33" t="str">
        <x:v>Medium</x:v>
      </x:c>
      <x:c r="G33" t="str">
        <x:v>Service Outage</x:v>
      </x:c>
      <x:c r="H33" s="3" t="n">
        <x:v>20.5</x:v>
      </x:c>
      <x:c r="I33" s="3" t="n">
        <x:v>60.7</x:v>
      </x:c>
      <x:c r="J33" s="3" t="n">
        <x:v>4.1</x:v>
      </x:c>
      <x:c r="K33" t="str">
        <x:v>Web</x:v>
      </x:c>
      <x:c r="L33" t="str">
        <x:v>Tech 2</x:v>
      </x:c>
    </x:row>
    <x:row r="34">
      <x:c r="A34" t="str">
        <x:v>TS-8033</x:v>
      </x:c>
      <x:c r="B34" t="str">
        <x:v>Sep</x:v>
      </x:c>
      <x:c r="C34" t="str">
        <x:v>Resolved</x:v>
      </x:c>
      <x:c r="D34" t="str">
        <x:v>Broadband</x:v>
      </x:c>
      <x:c r="E34" t="str">
        <x:v>North</x:v>
      </x:c>
      <x:c r="F34" t="str">
        <x:v>High</x:v>
      </x:c>
      <x:c r="G34" t="str">
        <x:v>Dropped Calls</x:v>
      </x:c>
      <x:c r="H34" s="3" t="n">
        <x:v>23.8</x:v>
      </x:c>
      <x:c r="I34" s="3" t="n">
        <x:v>70.4</x:v>
      </x:c>
      <x:c r="J34" s="3" t="n">
        <x:v>2.7</x:v>
      </x:c>
      <x:c r="K34" t="str">
        <x:v>App</x:v>
      </x:c>
      <x:c r="L34" t="str">
        <x:v>Tech 9</x:v>
      </x:c>
    </x:row>
    <x:row r="35">
      <x:c r="A35" t="str">
        <x:v>TS-8034</x:v>
      </x:c>
      <x:c r="B35" t="str">
        <x:v>Oct</x:v>
      </x:c>
      <x:c r="C35" t="str">
        <x:v>In Progress</x:v>
      </x:c>
      <x:c r="D35" t="str">
        <x:v>Landline</x:v>
      </x:c>
      <x:c r="E35" t="str">
        <x:v>South</x:v>
      </x:c>
      <x:c r="F35" t="str">
        <x:v>Low</x:v>
      </x:c>
      <x:c r="G35" t="str">
        <x:v>Billing Error</x:v>
      </x:c>
      <x:c r="H35" s="3" t="n">
        <x:v>2.1</x:v>
      </x:c>
      <x:c r="I35" s="3" t="n">
        <x:v>64.1</x:v>
      </x:c>
      <x:c r="J35" s="3" t="n">
        <x:v>3.8</x:v>
      </x:c>
      <x:c r="K35" t="str">
        <x:v>Retail</x:v>
      </x:c>
      <x:c r="L35" t="str">
        <x:v>Tech 16</x:v>
      </x:c>
    </x:row>
    <x:row r="36">
      <x:c r="A36" t="str">
        <x:v>TS-8035</x:v>
      </x:c>
      <x:c r="B36" t="str">
        <x:v>Nov</x:v>
      </x:c>
      <x:c r="C36" t="str">
        <x:v>Open</x:v>
      </x:c>
      <x:c r="D36" t="str">
        <x:v>TV</x:v>
      </x:c>
      <x:c r="E36" t="str">
        <x:v>East</x:v>
      </x:c>
      <x:c r="F36" t="str">
        <x:v>Medium</x:v>
      </x:c>
      <x:c r="G36" t="str">
        <x:v>No Signal</x:v>
      </x:c>
      <x:c r="H36" s="3" t="n">
        <x:v>3.4000000000000004</x:v>
      </x:c>
      <x:c r="I36" s="3" t="n">
        <x:v>65.8</x:v>
      </x:c>
      <x:c r="J36" s="3" t="n">
        <x:v>4.9</x:v>
      </x:c>
      <x:c r="K36" t="str">
        <x:v>Phone</x:v>
      </x:c>
      <x:c r="L36" t="str">
        <x:v>Tech 5</x:v>
      </x:c>
    </x:row>
    <x:row r="37">
      <x:c r="A37" t="str">
        <x:v>TS-8036</x:v>
      </x:c>
      <x:c r="B37" t="str">
        <x:v>Dec</x:v>
      </x:c>
      <x:c r="C37" t="str">
        <x:v>Resolved</x:v>
      </x:c>
      <x:c r="D37" t="str">
        <x:v>Mobile</x:v>
      </x:c>
      <x:c r="E37" t="str">
        <x:v>West</x:v>
      </x:c>
      <x:c r="F37" t="str">
        <x:v>High</x:v>
      </x:c>
      <x:c r="G37" t="str">
        <x:v>Installation Delay</x:v>
      </x:c>
      <x:c r="H37" s="3" t="n">
        <x:v>6.7</x:v>
      </x:c>
      <x:c r="I37" s="3" t="n">
        <x:v>75.5</x:v>
      </x:c>
      <x:c r="J37" s="3" t="n">
        <x:v>3.5</x:v>
      </x:c>
      <x:c r="K37" t="str">
        <x:v>Web</x:v>
      </x:c>
      <x:c r="L37" t="str">
        <x:v>Tech 12</x:v>
      </x:c>
    </x:row>
    <x:row r="38">
      <x:c r="A38" t="str">
        <x:v>TS-8037</x:v>
      </x:c>
      <x:c r="B38" t="str">
        <x:v>Jan</x:v>
      </x:c>
      <x:c r="C38" t="str">
        <x:v>In Progress</x:v>
      </x:c>
      <x:c r="D38" t="str">
        <x:v>Broadband</x:v>
      </x:c>
      <x:c r="E38" t="str">
        <x:v>North</x:v>
      </x:c>
      <x:c r="F38" t="str">
        <x:v>Low</x:v>
      </x:c>
      <x:c r="G38" t="str">
        <x:v>Slow Internet</x:v>
      </x:c>
      <x:c r="H38" s="3" t="n">
        <x:v>6</x:v>
      </x:c>
      <x:c r="I38" s="3" t="n">
        <x:v>69.2</x:v>
      </x:c>
      <x:c r="J38" s="3" t="n">
        <x:v>4.6</x:v>
      </x:c>
      <x:c r="K38" t="str">
        <x:v>App</x:v>
      </x:c>
      <x:c r="L38" t="str">
        <x:v>Tech 1</x:v>
      </x:c>
    </x:row>
    <x:row r="39">
      <x:c r="A39" t="str">
        <x:v>TS-8038</x:v>
      </x:c>
      <x:c r="B39" t="str">
        <x:v>Feb</x:v>
      </x:c>
      <x:c r="C39" t="str">
        <x:v>Open</x:v>
      </x:c>
      <x:c r="D39" t="str">
        <x:v>Landline</x:v>
      </x:c>
      <x:c r="E39" t="str">
        <x:v>South</x:v>
      </x:c>
      <x:c r="F39" t="str">
        <x:v>Medium</x:v>
      </x:c>
      <x:c r="G39" t="str">
        <x:v>Service Outage</x:v>
      </x:c>
      <x:c r="H39" s="3" t="n">
        <x:v>7.3</x:v>
      </x:c>
      <x:c r="I39" s="3" t="n">
        <x:v>70.9</x:v>
      </x:c>
      <x:c r="J39" s="3" t="n">
        <x:v>3.2</x:v>
      </x:c>
      <x:c r="K39" t="str">
        <x:v>Retail</x:v>
      </x:c>
      <x:c r="L39" t="str">
        <x:v>Tech 8</x:v>
      </x:c>
    </x:row>
    <x:row r="40">
      <x:c r="A40" t="str">
        <x:v>TS-8039</x:v>
      </x:c>
      <x:c r="B40" t="str">
        <x:v>Mar</x:v>
      </x:c>
      <x:c r="C40" t="str">
        <x:v>Open</x:v>
      </x:c>
      <x:c r="D40" t="str">
        <x:v>TV</x:v>
      </x:c>
      <x:c r="E40" t="str">
        <x:v>East</x:v>
      </x:c>
      <x:c r="F40" t="str">
        <x:v>High</x:v>
      </x:c>
      <x:c r="G40" t="str">
        <x:v>Dropped Calls</x:v>
      </x:c>
      <x:c r="H40" s="3" t="n">
        <x:v>10.6</x:v>
      </x:c>
      <x:c r="I40" s="3" t="n">
        <x:v>80.6</x:v>
      </x:c>
      <x:c r="J40" s="3" t="n">
        <x:v>4.3</x:v>
      </x:c>
      <x:c r="K40" t="str">
        <x:v>Phone</x:v>
      </x:c>
      <x:c r="L40" t="str">
        <x:v>Tech 15</x:v>
      </x:c>
    </x:row>
    <x:row r="41">
      <x:c r="A41" t="str">
        <x:v>TS-8040</x:v>
      </x:c>
      <x:c r="B41" t="str">
        <x:v>Apr</x:v>
      </x:c>
      <x:c r="C41" t="str">
        <x:v>Resolved</x:v>
      </x:c>
      <x:c r="D41" t="str">
        <x:v>Mobile</x:v>
      </x:c>
      <x:c r="E41" t="str">
        <x:v>West</x:v>
      </x:c>
      <x:c r="F41" t="str">
        <x:v>Low</x:v>
      </x:c>
      <x:c r="G41" t="str">
        <x:v>Billing Error</x:v>
      </x:c>
      <x:c r="H41" s="3" t="n">
        <x:v>9.899999999999999</x:v>
      </x:c>
      <x:c r="I41" s="3" t="n">
        <x:v>74.3</x:v>
      </x:c>
      <x:c r="J41" s="3" t="n">
        <x:v>2.9</x:v>
      </x:c>
      <x:c r="K41" t="str">
        <x:v>Web</x:v>
      </x:c>
      <x:c r="L41" t="str">
        <x:v>Tech 4</x:v>
      </x:c>
    </x:row>
    <x:row r="42">
      <x:c r="A42" t="str">
        <x:v>TS-8041</x:v>
      </x:c>
      <x:c r="B42" t="str">
        <x:v>May</x:v>
      </x:c>
      <x:c r="C42" t="str">
        <x:v>In Progress</x:v>
      </x:c>
      <x:c r="D42" t="str">
        <x:v>Broadband</x:v>
      </x:c>
      <x:c r="E42" t="str">
        <x:v>North</x:v>
      </x:c>
      <x:c r="F42" t="str">
        <x:v>Medium</x:v>
      </x:c>
      <x:c r="G42" t="str">
        <x:v>No Signal</x:v>
      </x:c>
      <x:c r="H42" s="3" t="n">
        <x:v>11.2</x:v>
      </x:c>
      <x:c r="I42" s="3" t="n">
        <x:v>76</x:v>
      </x:c>
      <x:c r="J42" s="3" t="n">
        <x:v>4</x:v>
      </x:c>
      <x:c r="K42" t="str">
        <x:v>App</x:v>
      </x:c>
      <x:c r="L42" t="str">
        <x:v>Tech 11</x:v>
      </x:c>
    </x:row>
    <x:row r="43">
      <x:c r="A43" t="str">
        <x:v>TS-8042</x:v>
      </x:c>
      <x:c r="B43" t="str">
        <x:v>Jun</x:v>
      </x:c>
      <x:c r="C43" t="str">
        <x:v>Open</x:v>
      </x:c>
      <x:c r="D43" t="str">
        <x:v>Landline</x:v>
      </x:c>
      <x:c r="E43" t="str">
        <x:v>South</x:v>
      </x:c>
      <x:c r="F43" t="str">
        <x:v>High</x:v>
      </x:c>
      <x:c r="G43" t="str">
        <x:v>Installation Delay</x:v>
      </x:c>
      <x:c r="H43" s="3" t="n">
        <x:v>14.5</x:v>
      </x:c>
      <x:c r="I43" s="3" t="n">
        <x:v>85.7</x:v>
      </x:c>
      <x:c r="J43" s="3" t="n">
        <x:v>2.6</x:v>
      </x:c>
      <x:c r="K43" t="str">
        <x:v>Retail</x:v>
      </x:c>
      <x:c r="L43" t="str">
        <x:v>Tech 18</x:v>
      </x:c>
    </x:row>
    <x:row r="44">
      <x:c r="A44" t="str">
        <x:v>TS-8043</x:v>
      </x:c>
      <x:c r="B44" t="str">
        <x:v>Jul</x:v>
      </x:c>
      <x:c r="C44" t="str">
        <x:v>Resolved</x:v>
      </x:c>
      <x:c r="D44" t="str">
        <x:v>TV</x:v>
      </x:c>
      <x:c r="E44" t="str">
        <x:v>East</x:v>
      </x:c>
      <x:c r="F44" t="str">
        <x:v>Low</x:v>
      </x:c>
      <x:c r="G44" t="str">
        <x:v>Slow Internet</x:v>
      </x:c>
      <x:c r="H44" s="3" t="n">
        <x:v>13.799999999999999</x:v>
      </x:c>
      <x:c r="I44" s="3" t="n">
        <x:v>79.4</x:v>
      </x:c>
      <x:c r="J44" s="3" t="n">
        <x:v>3.7</x:v>
      </x:c>
      <x:c r="K44" t="str">
        <x:v>Phone</x:v>
      </x:c>
      <x:c r="L44" t="str">
        <x:v>Tech 7</x:v>
      </x:c>
    </x:row>
    <x:row r="45">
      <x:c r="A45" t="str">
        <x:v>TS-8044</x:v>
      </x:c>
      <x:c r="B45" t="str">
        <x:v>Aug</x:v>
      </x:c>
      <x:c r="C45" t="str">
        <x:v>In Progress</x:v>
      </x:c>
      <x:c r="D45" t="str">
        <x:v>Mobile</x:v>
      </x:c>
      <x:c r="E45" t="str">
        <x:v>West</x:v>
      </x:c>
      <x:c r="F45" t="str">
        <x:v>Medium</x:v>
      </x:c>
      <x:c r="G45" t="str">
        <x:v>Service Outage</x:v>
      </x:c>
      <x:c r="H45" s="3" t="n">
        <x:v>15.1</x:v>
      </x:c>
      <x:c r="I45" s="3" t="n">
        <x:v>81.1</x:v>
      </x:c>
      <x:c r="J45" s="3" t="n">
        <x:v>4.8</x:v>
      </x:c>
      <x:c r="K45" t="str">
        <x:v>Web</x:v>
      </x:c>
      <x:c r="L45" t="str">
        <x:v>Tech 14</x:v>
      </x:c>
    </x:row>
    <x:row r="46">
      <x:c r="A46" t="str">
        <x:v>TS-8045</x:v>
      </x:c>
      <x:c r="B46" t="str">
        <x:v>Sep</x:v>
      </x:c>
      <x:c r="C46" t="str">
        <x:v>Open</x:v>
      </x:c>
      <x:c r="D46" t="str">
        <x:v>Broadband</x:v>
      </x:c>
      <x:c r="E46" t="str">
        <x:v>North</x:v>
      </x:c>
      <x:c r="F46" t="str">
        <x:v>High</x:v>
      </x:c>
      <x:c r="G46" t="str">
        <x:v>Dropped Calls</x:v>
      </x:c>
      <x:c r="H46" s="3" t="n">
        <x:v>18.4</x:v>
      </x:c>
      <x:c r="I46" s="3" t="n">
        <x:v>90.8</x:v>
      </x:c>
      <x:c r="J46" s="3" t="n">
        <x:v>3.4</x:v>
      </x:c>
      <x:c r="K46" t="str">
        <x:v>App</x:v>
      </x:c>
      <x:c r="L46" t="str">
        <x:v>Tech 3</x:v>
      </x:c>
    </x:row>
    <x:row r="47">
      <x:c r="A47" t="str">
        <x:v>TS-8046</x:v>
      </x:c>
      <x:c r="B47" t="str">
        <x:v>Oct</x:v>
      </x:c>
      <x:c r="C47" t="str">
        <x:v>Resolved</x:v>
      </x:c>
      <x:c r="D47" t="str">
        <x:v>Landline</x:v>
      </x:c>
      <x:c r="E47" t="str">
        <x:v>South</x:v>
      </x:c>
      <x:c r="F47" t="str">
        <x:v>Low</x:v>
      </x:c>
      <x:c r="G47" t="str">
        <x:v>Billing Error</x:v>
      </x:c>
      <x:c r="H47" s="3" t="n">
        <x:v>17.7</x:v>
      </x:c>
      <x:c r="I47" s="3" t="n">
        <x:v>84.5</x:v>
      </x:c>
      <x:c r="J47" s="3" t="n">
        <x:v>4.5</x:v>
      </x:c>
      <x:c r="K47" t="str">
        <x:v>Retail</x:v>
      </x:c>
      <x:c r="L47" t="str">
        <x:v>Tech 10</x:v>
      </x:c>
    </x:row>
    <x:row r="48">
      <x:c r="A48" t="str">
        <x:v>TS-8047</x:v>
      </x:c>
      <x:c r="B48" t="str">
        <x:v>Nov</x:v>
      </x:c>
      <x:c r="C48" t="str">
        <x:v>In Progress</x:v>
      </x:c>
      <x:c r="D48" t="str">
        <x:v>TV</x:v>
      </x:c>
      <x:c r="E48" t="str">
        <x:v>East</x:v>
      </x:c>
      <x:c r="F48" t="str">
        <x:v>Medium</x:v>
      </x:c>
      <x:c r="G48" t="str">
        <x:v>No Signal</x:v>
      </x:c>
      <x:c r="H48" s="3" t="n">
        <x:v>19</x:v>
      </x:c>
      <x:c r="I48" s="3" t="n">
        <x:v>86.2</x:v>
      </x:c>
      <x:c r="J48" s="3" t="n">
        <x:v>3.1</x:v>
      </x:c>
      <x:c r="K48" t="str">
        <x:v>Phone</x:v>
      </x:c>
      <x:c r="L48" t="str">
        <x:v>Tech 17</x:v>
      </x:c>
    </x:row>
    <x:row r="49">
      <x:c r="A49" t="str">
        <x:v>TS-8048</x:v>
      </x:c>
      <x:c r="B49" t="str">
        <x:v>Dec</x:v>
      </x:c>
      <x:c r="C49" t="str">
        <x:v>Open</x:v>
      </x:c>
      <x:c r="D49" t="str">
        <x:v>Mobile</x:v>
      </x:c>
      <x:c r="E49" t="str">
        <x:v>West</x:v>
      </x:c>
      <x:c r="F49" t="str">
        <x:v>High</x:v>
      </x:c>
      <x:c r="G49" t="str">
        <x:v>Installation Delay</x:v>
      </x:c>
      <x:c r="H49" s="3" t="n">
        <x:v>22.3</x:v>
      </x:c>
      <x:c r="I49" s="3" t="n">
        <x:v>95.9</x:v>
      </x:c>
      <x:c r="J49" s="3" t="n">
        <x:v>4.2</x:v>
      </x:c>
      <x:c r="K49" t="str">
        <x:v>Web</x:v>
      </x:c>
      <x:c r="L49" t="str">
        <x:v>Tech 6</x:v>
      </x:c>
    </x:row>
    <x:row r="50">
      <x:c r="A50" t="str">
        <x:v>TS-8049</x:v>
      </x:c>
      <x:c r="B50" t="str">
        <x:v>Jan</x:v>
      </x:c>
      <x:c r="C50" t="str">
        <x:v>Resolved</x:v>
      </x:c>
      <x:c r="D50" t="str">
        <x:v>Broadband</x:v>
      </x:c>
      <x:c r="E50" t="str">
        <x:v>North</x:v>
      </x:c>
      <x:c r="F50" t="str">
        <x:v>Low</x:v>
      </x:c>
      <x:c r="G50" t="str">
        <x:v>Slow Internet</x:v>
      </x:c>
      <x:c r="H50" s="3" t="n">
        <x:v>21.599999999999998</x:v>
      </x:c>
      <x:c r="I50" s="3" t="n">
        <x:v>89.6</x:v>
      </x:c>
      <x:c r="J50" s="3" t="n">
        <x:v>2.8</x:v>
      </x:c>
      <x:c r="K50" t="str">
        <x:v>App</x:v>
      </x:c>
      <x:c r="L50" t="str">
        <x:v>Tech 13</x:v>
      </x:c>
    </x:row>
    <x:row r="51">
      <x:c r="A51" t="str">
        <x:v>TS-8050</x:v>
      </x:c>
      <x:c r="B51" t="str">
        <x:v>Feb</x:v>
      </x:c>
      <x:c r="C51" t="str">
        <x:v>In Progress</x:v>
      </x:c>
      <x:c r="D51" t="str">
        <x:v>Landline</x:v>
      </x:c>
      <x:c r="E51" t="str">
        <x:v>South</x:v>
      </x:c>
      <x:c r="F51" t="str">
        <x:v>Medium</x:v>
      </x:c>
      <x:c r="G51" t="str">
        <x:v>Service Outage</x:v>
      </x:c>
      <x:c r="H51" s="3" t="n">
        <x:v>1.9</x:v>
      </x:c>
      <x:c r="I51" s="3" t="n">
        <x:v>91.3</x:v>
      </x:c>
      <x:c r="J51" s="3" t="n">
        <x:v>3.9</x:v>
      </x:c>
      <x:c r="K51" t="str">
        <x:v>Retail</x:v>
      </x:c>
      <x:c r="L51" t="str">
        <x:v>Tech 2</x:v>
      </x:c>
    </x:row>
    <x:row r="52">
      <x:c r="A52" t="str">
        <x:v>TS-8051</x:v>
      </x:c>
      <x:c r="B52" t="str">
        <x:v>Mar</x:v>
      </x:c>
      <x:c r="C52" t="str">
        <x:v>Open</x:v>
      </x:c>
      <x:c r="D52" t="str">
        <x:v>TV</x:v>
      </x:c>
      <x:c r="E52" t="str">
        <x:v>East</x:v>
      </x:c>
      <x:c r="F52" t="str">
        <x:v>High</x:v>
      </x:c>
      <x:c r="G52" t="str">
        <x:v>Dropped Calls</x:v>
      </x:c>
      <x:c r="H52" s="3" t="n">
        <x:v>5.2</x:v>
      </x:c>
      <x:c r="I52" s="3" t="n">
        <x:v>101</x:v>
      </x:c>
      <x:c r="J52" s="3" t="n">
        <x:v>2.5</x:v>
      </x:c>
      <x:c r="K52" t="str">
        <x:v>Phone</x:v>
      </x:c>
      <x:c r="L52" t="str">
        <x:v>Tech 9</x:v>
      </x:c>
    </x:row>
    <x:row r="53">
      <x:c r="A53" t="str">
        <x:v>TS-8052</x:v>
      </x:c>
      <x:c r="B53" t="str">
        <x:v>Apr</x:v>
      </x:c>
      <x:c r="C53" t="str">
        <x:v>Resolved</x:v>
      </x:c>
      <x:c r="D53" t="str">
        <x:v>Mobile</x:v>
      </x:c>
      <x:c r="E53" t="str">
        <x:v>West</x:v>
      </x:c>
      <x:c r="F53" t="str">
        <x:v>Low</x:v>
      </x:c>
      <x:c r="G53" t="str">
        <x:v>Billing Error</x:v>
      </x:c>
      <x:c r="H53" s="3" t="n">
        <x:v>4.5</x:v>
      </x:c>
      <x:c r="I53" s="3" t="n">
        <x:v>94.7</x:v>
      </x:c>
      <x:c r="J53" s="3" t="n">
        <x:v>3.6</x:v>
      </x:c>
      <x:c r="K53" t="str">
        <x:v>Web</x:v>
      </x:c>
      <x:c r="L53" t="str">
        <x:v>Tech 16</x:v>
      </x:c>
    </x:row>
    <x:row r="54">
      <x:c r="A54" t="str">
        <x:v>TS-8053</x:v>
      </x:c>
      <x:c r="B54" t="str">
        <x:v>May</x:v>
      </x:c>
      <x:c r="C54" t="str">
        <x:v>In Progress</x:v>
      </x:c>
      <x:c r="D54" t="str">
        <x:v>Broadband</x:v>
      </x:c>
      <x:c r="E54" t="str">
        <x:v>North</x:v>
      </x:c>
      <x:c r="F54" t="str">
        <x:v>Medium</x:v>
      </x:c>
      <x:c r="G54" t="str">
        <x:v>No Signal</x:v>
      </x:c>
      <x:c r="H54" s="3" t="n">
        <x:v>5.8</x:v>
      </x:c>
      <x:c r="I54" s="3" t="n">
        <x:v>96.4</x:v>
      </x:c>
      <x:c r="J54" s="3" t="n">
        <x:v>4.7</x:v>
      </x:c>
      <x:c r="K54" t="str">
        <x:v>App</x:v>
      </x:c>
      <x:c r="L54" t="str">
        <x:v>Tech 5</x:v>
      </x:c>
    </x:row>
    <x:row r="55">
      <x:c r="A55" t="str">
        <x:v>TS-8054</x:v>
      </x:c>
      <x:c r="B55" t="str">
        <x:v>Jun</x:v>
      </x:c>
      <x:c r="C55" t="str">
        <x:v>Open</x:v>
      </x:c>
      <x:c r="D55" t="str">
        <x:v>Landline</x:v>
      </x:c>
      <x:c r="E55" t="str">
        <x:v>South</x:v>
      </x:c>
      <x:c r="F55" t="str">
        <x:v>High</x:v>
      </x:c>
      <x:c r="G55" t="str">
        <x:v>Installation Delay</x:v>
      </x:c>
      <x:c r="H55" s="3" t="n">
        <x:v>9.100000000000001</x:v>
      </x:c>
      <x:c r="I55" s="3" t="n">
        <x:v>106.1</x:v>
      </x:c>
      <x:c r="J55" s="3" t="n">
        <x:v>3.3</x:v>
      </x:c>
      <x:c r="K55" t="str">
        <x:v>Retail</x:v>
      </x:c>
      <x:c r="L55" t="str">
        <x:v>Tech 12</x:v>
      </x:c>
    </x:row>
    <x:row r="56">
      <x:c r="A56" t="str">
        <x:v>TS-8055</x:v>
      </x:c>
      <x:c r="B56" t="str">
        <x:v>Jul</x:v>
      </x:c>
      <x:c r="C56" t="str">
        <x:v>Resolved</x:v>
      </x:c>
      <x:c r="D56" t="str">
        <x:v>TV</x:v>
      </x:c>
      <x:c r="E56" t="str">
        <x:v>East</x:v>
      </x:c>
      <x:c r="F56" t="str">
        <x:v>Low</x:v>
      </x:c>
      <x:c r="G56" t="str">
        <x:v>Slow Internet</x:v>
      </x:c>
      <x:c r="H56" s="3" t="n">
        <x:v>8.4</x:v>
      </x:c>
      <x:c r="I56" s="3" t="n">
        <x:v>99.8</x:v>
      </x:c>
      <x:c r="J56" s="3" t="n">
        <x:v>4.4</x:v>
      </x:c>
      <x:c r="K56" t="str">
        <x:v>Phone</x:v>
      </x:c>
      <x:c r="L56" t="str">
        <x:v>Tech 1</x:v>
      </x:c>
    </x:row>
    <x:row r="57">
      <x:c r="A57" t="str">
        <x:v>TS-8056</x:v>
      </x:c>
      <x:c r="B57" t="str">
        <x:v>Aug</x:v>
      </x:c>
      <x:c r="C57" t="str">
        <x:v>In Progress</x:v>
      </x:c>
      <x:c r="D57" t="str">
        <x:v>Mobile</x:v>
      </x:c>
      <x:c r="E57" t="str">
        <x:v>West</x:v>
      </x:c>
      <x:c r="F57" t="str">
        <x:v>Medium</x:v>
      </x:c>
      <x:c r="G57" t="str">
        <x:v>Service Outage</x:v>
      </x:c>
      <x:c r="H57" s="3" t="n">
        <x:v>9.7</x:v>
      </x:c>
      <x:c r="I57" s="3" t="n">
        <x:v>101.5</x:v>
      </x:c>
      <x:c r="J57" s="3" t="n">
        <x:v>3</x:v>
      </x:c>
      <x:c r="K57" t="str">
        <x:v>Web</x:v>
      </x:c>
      <x:c r="L57" t="str">
        <x:v>Tech 8</x:v>
      </x:c>
    </x:row>
    <x:row r="58">
      <x:c r="A58" t="str">
        <x:v>TS-8057</x:v>
      </x:c>
      <x:c r="B58" t="str">
        <x:v>Sep</x:v>
      </x:c>
      <x:c r="C58" t="str">
        <x:v>Open</x:v>
      </x:c>
      <x:c r="D58" t="str">
        <x:v>Broadband</x:v>
      </x:c>
      <x:c r="E58" t="str">
        <x:v>North</x:v>
      </x:c>
      <x:c r="F58" t="str">
        <x:v>High</x:v>
      </x:c>
      <x:c r="G58" t="str">
        <x:v>Dropped Calls</x:v>
      </x:c>
      <x:c r="H58" s="3" t="n">
        <x:v>13</x:v>
      </x:c>
      <x:c r="I58" s="3" t="n">
        <x:v>111.2</x:v>
      </x:c>
      <x:c r="J58" s="3" t="n">
        <x:v>4.1</x:v>
      </x:c>
      <x:c r="K58" t="str">
        <x:v>App</x:v>
      </x:c>
      <x:c r="L58" t="str">
        <x:v>Tech 15</x:v>
      </x:c>
    </x:row>
    <x:row r="59">
      <x:c r="A59" t="str">
        <x:v>TS-8058</x:v>
      </x:c>
      <x:c r="B59" t="str">
        <x:v>Oct</x:v>
      </x:c>
      <x:c r="C59" t="str">
        <x:v>Open</x:v>
      </x:c>
      <x:c r="D59" t="str">
        <x:v>Landline</x:v>
      </x:c>
      <x:c r="E59" t="str">
        <x:v>South</x:v>
      </x:c>
      <x:c r="F59" t="str">
        <x:v>Low</x:v>
      </x:c>
      <x:c r="G59" t="str">
        <x:v>Billing Error</x:v>
      </x:c>
      <x:c r="H59" s="3" t="n">
        <x:v>12.299999999999999</x:v>
      </x:c>
      <x:c r="I59" s="3" t="n">
        <x:v>8.9</x:v>
      </x:c>
      <x:c r="J59" s="3" t="n">
        <x:v>2.7</x:v>
      </x:c>
      <x:c r="K59" t="str">
        <x:v>Retail</x:v>
      </x:c>
      <x:c r="L59" t="str">
        <x:v>Tech 4</x:v>
      </x:c>
    </x:row>
    <x:row r="60">
      <x:c r="A60" t="str">
        <x:v>TS-8059</x:v>
      </x:c>
      <x:c r="B60" t="str">
        <x:v>Nov</x:v>
      </x:c>
      <x:c r="C60" t="str">
        <x:v>Resolved</x:v>
      </x:c>
      <x:c r="D60" t="str">
        <x:v>TV</x:v>
      </x:c>
      <x:c r="E60" t="str">
        <x:v>East</x:v>
      </x:c>
      <x:c r="F60" t="str">
        <x:v>Medium</x:v>
      </x:c>
      <x:c r="G60" t="str">
        <x:v>No Signal</x:v>
      </x:c>
      <x:c r="H60" s="3" t="n">
        <x:v>13.6</x:v>
      </x:c>
      <x:c r="I60" s="3" t="n">
        <x:v>10.6</x:v>
      </x:c>
      <x:c r="J60" s="3" t="n">
        <x:v>3.8</x:v>
      </x:c>
      <x:c r="K60" t="str">
        <x:v>Phone</x:v>
      </x:c>
      <x:c r="L60" t="str">
        <x:v>Tech 11</x:v>
      </x:c>
    </x:row>
    <x:row r="61">
      <x:c r="A61" t="str">
        <x:v>TS-8060</x:v>
      </x:c>
      <x:c r="B61" t="str">
        <x:v>Dec</x:v>
      </x:c>
      <x:c r="C61" t="str">
        <x:v>In Progress</x:v>
      </x:c>
      <x:c r="D61" t="str">
        <x:v>Mobile</x:v>
      </x:c>
      <x:c r="E61" t="str">
        <x:v>West</x:v>
      </x:c>
      <x:c r="F61" t="str">
        <x:v>High</x:v>
      </x:c>
      <x:c r="G61" t="str">
        <x:v>Installation Delay</x:v>
      </x:c>
      <x:c r="H61" s="3" t="n">
        <x:v>16.9</x:v>
      </x:c>
      <x:c r="I61" s="3" t="n">
        <x:v>20.3</x:v>
      </x:c>
      <x:c r="J61" s="3" t="n">
        <x:v>4.9</x:v>
      </x:c>
      <x:c r="K61" t="str">
        <x:v>Web</x:v>
      </x:c>
      <x:c r="L61" t="str">
        <x:v>Tech 18</x:v>
      </x:c>
    </x:row>
    <x:row r="62">
      <x:c r="A62" t="str">
        <x:v>TS-8061</x:v>
      </x:c>
      <x:c r="B62" t="str">
        <x:v>Jan</x:v>
      </x:c>
      <x:c r="C62" t="str">
        <x:v>Open</x:v>
      </x:c>
      <x:c r="D62" t="str">
        <x:v>Broadband</x:v>
      </x:c>
      <x:c r="E62" t="str">
        <x:v>North</x:v>
      </x:c>
      <x:c r="F62" t="str">
        <x:v>Low</x:v>
      </x:c>
      <x:c r="G62" t="str">
        <x:v>Slow Internet</x:v>
      </x:c>
      <x:c r="H62" s="3" t="n">
        <x:v>16.2</x:v>
      </x:c>
      <x:c r="I62" s="3" t="n">
        <x:v>14</x:v>
      </x:c>
      <x:c r="J62" s="3" t="n">
        <x:v>3.5</x:v>
      </x:c>
      <x:c r="K62" t="str">
        <x:v>App</x:v>
      </x:c>
      <x:c r="L62" t="str">
        <x:v>Tech 7</x:v>
      </x:c>
    </x:row>
    <x:row r="63">
      <x:c r="A63" t="str">
        <x:v>TS-8062</x:v>
      </x:c>
      <x:c r="B63" t="str">
        <x:v>Feb</x:v>
      </x:c>
      <x:c r="C63" t="str">
        <x:v>Resolved</x:v>
      </x:c>
      <x:c r="D63" t="str">
        <x:v>Landline</x:v>
      </x:c>
      <x:c r="E63" t="str">
        <x:v>South</x:v>
      </x:c>
      <x:c r="F63" t="str">
        <x:v>Medium</x:v>
      </x:c>
      <x:c r="G63" t="str">
        <x:v>Service Outage</x:v>
      </x:c>
      <x:c r="H63" s="3" t="n">
        <x:v>17.5</x:v>
      </x:c>
      <x:c r="I63" s="3" t="n">
        <x:v>15.7</x:v>
      </x:c>
      <x:c r="J63" s="3" t="n">
        <x:v>4.6</x:v>
      </x:c>
      <x:c r="K63" t="str">
        <x:v>Retail</x:v>
      </x:c>
      <x:c r="L63" t="str">
        <x:v>Tech 14</x:v>
      </x:c>
    </x:row>
    <x:row r="64">
      <x:c r="A64" t="str">
        <x:v>TS-8063</x:v>
      </x:c>
      <x:c r="B64" t="str">
        <x:v>Mar</x:v>
      </x:c>
      <x:c r="C64" t="str">
        <x:v>In Progress</x:v>
      </x:c>
      <x:c r="D64" t="str">
        <x:v>TV</x:v>
      </x:c>
      <x:c r="E64" t="str">
        <x:v>East</x:v>
      </x:c>
      <x:c r="F64" t="str">
        <x:v>High</x:v>
      </x:c>
      <x:c r="G64" t="str">
        <x:v>Dropped Calls</x:v>
      </x:c>
      <x:c r="H64" s="3" t="n">
        <x:v>20.8</x:v>
      </x:c>
      <x:c r="I64" s="3" t="n">
        <x:v>25.4</x:v>
      </x:c>
      <x:c r="J64" s="3" t="n">
        <x:v>3.2</x:v>
      </x:c>
      <x:c r="K64" t="str">
        <x:v>Phone</x:v>
      </x:c>
      <x:c r="L64" t="str">
        <x:v>Tech 3</x:v>
      </x:c>
    </x:row>
    <x:row r="65">
      <x:c r="A65" t="str">
        <x:v>TS-8064</x:v>
      </x:c>
      <x:c r="B65" t="str">
        <x:v>Apr</x:v>
      </x:c>
      <x:c r="C65" t="str">
        <x:v>Open</x:v>
      </x:c>
      <x:c r="D65" t="str">
        <x:v>Mobile</x:v>
      </x:c>
      <x:c r="E65" t="str">
        <x:v>West</x:v>
      </x:c>
      <x:c r="F65" t="str">
        <x:v>Low</x:v>
      </x:c>
      <x:c r="G65" t="str">
        <x:v>Billing Error</x:v>
      </x:c>
      <x:c r="H65" s="3" t="n">
        <x:v>20.099999999999998</x:v>
      </x:c>
      <x:c r="I65" s="3" t="n">
        <x:v>19.1</x:v>
      </x:c>
      <x:c r="J65" s="3" t="n">
        <x:v>4.3</x:v>
      </x:c>
      <x:c r="K65" t="str">
        <x:v>Web</x:v>
      </x:c>
      <x:c r="L65" t="str">
        <x:v>Tech 10</x:v>
      </x:c>
    </x:row>
    <x:row r="66">
      <x:c r="A66" t="str">
        <x:v>TS-8065</x:v>
      </x:c>
      <x:c r="B66" t="str">
        <x:v>May</x:v>
      </x:c>
      <x:c r="C66" t="str">
        <x:v>Resolved</x:v>
      </x:c>
      <x:c r="D66" t="str">
        <x:v>Broadband</x:v>
      </x:c>
      <x:c r="E66" t="str">
        <x:v>North</x:v>
      </x:c>
      <x:c r="F66" t="str">
        <x:v>Medium</x:v>
      </x:c>
      <x:c r="G66" t="str">
        <x:v>No Signal</x:v>
      </x:c>
      <x:c r="H66" s="3" t="n">
        <x:v>21.4</x:v>
      </x:c>
      <x:c r="I66" s="3" t="n">
        <x:v>20.8</x:v>
      </x:c>
      <x:c r="J66" s="3" t="n">
        <x:v>2.9</x:v>
      </x:c>
      <x:c r="K66" t="str">
        <x:v>App</x:v>
      </x:c>
      <x:c r="L66" t="str">
        <x:v>Tech 17</x:v>
      </x:c>
    </x:row>
    <x:row r="67">
      <x:c r="A67" t="str">
        <x:v>TS-8066</x:v>
      </x:c>
      <x:c r="B67" t="str">
        <x:v>Jun</x:v>
      </x:c>
      <x:c r="C67" t="str">
        <x:v>In Progress</x:v>
      </x:c>
      <x:c r="D67" t="str">
        <x:v>Landline</x:v>
      </x:c>
      <x:c r="E67" t="str">
        <x:v>South</x:v>
      </x:c>
      <x:c r="F67" t="str">
        <x:v>High</x:v>
      </x:c>
      <x:c r="G67" t="str">
        <x:v>Installation Delay</x:v>
      </x:c>
      <x:c r="H67" s="3" t="n">
        <x:v>3.7</x:v>
      </x:c>
      <x:c r="I67" s="3" t="n">
        <x:v>30.5</x:v>
      </x:c>
      <x:c r="J67" s="3" t="n">
        <x:v>4</x:v>
      </x:c>
      <x:c r="K67" t="str">
        <x:v>Retail</x:v>
      </x:c>
      <x:c r="L67" t="str">
        <x:v>Tech 6</x:v>
      </x:c>
    </x:row>
    <x:row r="68">
      <x:c r="A68" t="str">
        <x:v>TS-8067</x:v>
      </x:c>
      <x:c r="B68" t="str">
        <x:v>Jul</x:v>
      </x:c>
      <x:c r="C68" t="str">
        <x:v>Open</x:v>
      </x:c>
      <x:c r="D68" t="str">
        <x:v>TV</x:v>
      </x:c>
      <x:c r="E68" t="str">
        <x:v>East</x:v>
      </x:c>
      <x:c r="F68" t="str">
        <x:v>Low</x:v>
      </x:c>
      <x:c r="G68" t="str">
        <x:v>Slow Internet</x:v>
      </x:c>
      <x:c r="H68" s="3" t="n">
        <x:v>3</x:v>
      </x:c>
      <x:c r="I68" s="3" t="n">
        <x:v>24.2</x:v>
      </x:c>
      <x:c r="J68" s="3" t="n">
        <x:v>2.6</x:v>
      </x:c>
      <x:c r="K68" t="str">
        <x:v>Phone</x:v>
      </x:c>
      <x:c r="L68" t="str">
        <x:v>Tech 13</x:v>
      </x:c>
    </x:row>
    <x:row r="69">
      <x:c r="A69" t="str">
        <x:v>TS-8068</x:v>
      </x:c>
      <x:c r="B69" t="str">
        <x:v>Aug</x:v>
      </x:c>
      <x:c r="C69" t="str">
        <x:v>Resolved</x:v>
      </x:c>
      <x:c r="D69" t="str">
        <x:v>Mobile</x:v>
      </x:c>
      <x:c r="E69" t="str">
        <x:v>West</x:v>
      </x:c>
      <x:c r="F69" t="str">
        <x:v>Medium</x:v>
      </x:c>
      <x:c r="G69" t="str">
        <x:v>Service Outage</x:v>
      </x:c>
      <x:c r="H69" s="3" t="n">
        <x:v>4.3</x:v>
      </x:c>
      <x:c r="I69" s="3" t="n">
        <x:v>25.9</x:v>
      </x:c>
      <x:c r="J69" s="3" t="n">
        <x:v>3.7</x:v>
      </x:c>
      <x:c r="K69" t="str">
        <x:v>Web</x:v>
      </x:c>
      <x:c r="L69" t="str">
        <x:v>Tech 2</x:v>
      </x:c>
    </x:row>
    <x:row r="70">
      <x:c r="A70" t="str">
        <x:v>TS-8069</x:v>
      </x:c>
      <x:c r="B70" t="str">
        <x:v>Sep</x:v>
      </x:c>
      <x:c r="C70" t="str">
        <x:v>In Progress</x:v>
      </x:c>
      <x:c r="D70" t="str">
        <x:v>Broadband</x:v>
      </x:c>
      <x:c r="E70" t="str">
        <x:v>North</x:v>
      </x:c>
      <x:c r="F70" t="str">
        <x:v>High</x:v>
      </x:c>
      <x:c r="G70" t="str">
        <x:v>Dropped Calls</x:v>
      </x:c>
      <x:c r="H70" s="3" t="n">
        <x:v>7.6000000000000005</x:v>
      </x:c>
      <x:c r="I70" s="3" t="n">
        <x:v>35.6</x:v>
      </x:c>
      <x:c r="J70" s="3" t="n">
        <x:v>4.8</x:v>
      </x:c>
      <x:c r="K70" t="str">
        <x:v>App</x:v>
      </x:c>
      <x:c r="L70" t="str">
        <x:v>Tech 9</x:v>
      </x:c>
    </x:row>
    <x:row r="71">
      <x:c r="A71" t="str">
        <x:v>TS-8070</x:v>
      </x:c>
      <x:c r="B71" t="str">
        <x:v>Oct</x:v>
      </x:c>
      <x:c r="C71" t="str">
        <x:v>Open</x:v>
      </x:c>
      <x:c r="D71" t="str">
        <x:v>Landline</x:v>
      </x:c>
      <x:c r="E71" t="str">
        <x:v>South</x:v>
      </x:c>
      <x:c r="F71" t="str">
        <x:v>Low</x:v>
      </x:c>
      <x:c r="G71" t="str">
        <x:v>Billing Error</x:v>
      </x:c>
      <x:c r="H71" s="3" t="n">
        <x:v>6.9</x:v>
      </x:c>
      <x:c r="I71" s="3" t="n">
        <x:v>29.3</x:v>
      </x:c>
      <x:c r="J71" s="3" t="n">
        <x:v>3.4</x:v>
      </x:c>
      <x:c r="K71" t="str">
        <x:v>Retail</x:v>
      </x:c>
      <x:c r="L71" t="str">
        <x:v>Tech 16</x:v>
      </x:c>
    </x:row>
    <x:row r="72">
      <x:c r="A72" t="str">
        <x:v>TS-8071</x:v>
      </x:c>
      <x:c r="B72" t="str">
        <x:v>Nov</x:v>
      </x:c>
      <x:c r="C72" t="str">
        <x:v>Resolved</x:v>
      </x:c>
      <x:c r="D72" t="str">
        <x:v>TV</x:v>
      </x:c>
      <x:c r="E72" t="str">
        <x:v>East</x:v>
      </x:c>
      <x:c r="F72" t="str">
        <x:v>Medium</x:v>
      </x:c>
      <x:c r="G72" t="str">
        <x:v>No Signal</x:v>
      </x:c>
      <x:c r="H72" s="3" t="n">
        <x:v>8.2</x:v>
      </x:c>
      <x:c r="I72" s="3" t="n">
        <x:v>31</x:v>
      </x:c>
      <x:c r="J72" s="3" t="n">
        <x:v>4.5</x:v>
      </x:c>
      <x:c r="K72" t="str">
        <x:v>Phone</x:v>
      </x:c>
      <x:c r="L72" t="str">
        <x:v>Tech 5</x:v>
      </x:c>
    </x:row>
    <x:row r="73">
      <x:c r="A73" t="str">
        <x:v>TS-8072</x:v>
      </x:c>
      <x:c r="B73" t="str">
        <x:v>Dec</x:v>
      </x:c>
      <x:c r="C73" t="str">
        <x:v>In Progress</x:v>
      </x:c>
      <x:c r="D73" t="str">
        <x:v>Mobile</x:v>
      </x:c>
      <x:c r="E73" t="str">
        <x:v>West</x:v>
      </x:c>
      <x:c r="F73" t="str">
        <x:v>High</x:v>
      </x:c>
      <x:c r="G73" t="str">
        <x:v>Installation Delay</x:v>
      </x:c>
      <x:c r="H73" s="3" t="n">
        <x:v>11.5</x:v>
      </x:c>
      <x:c r="I73" s="3" t="n">
        <x:v>40.7</x:v>
      </x:c>
      <x:c r="J73" s="3" t="n">
        <x:v>3.1</x:v>
      </x:c>
      <x:c r="K73" t="str">
        <x:v>Web</x:v>
      </x:c>
      <x:c r="L73" t="str">
        <x:v>Tech 12</x:v>
      </x:c>
    </x:row>
    <x:row r="74">
      <x:c r="A74" t="str">
        <x:v>TS-8073</x:v>
      </x:c>
      <x:c r="B74" t="str">
        <x:v>Jan</x:v>
      </x:c>
      <x:c r="C74" t="str">
        <x:v>Open</x:v>
      </x:c>
      <x:c r="D74" t="str">
        <x:v>Broadband</x:v>
      </x:c>
      <x:c r="E74" t="str">
        <x:v>North</x:v>
      </x:c>
      <x:c r="F74" t="str">
        <x:v>Low</x:v>
      </x:c>
      <x:c r="G74" t="str">
        <x:v>Slow Internet</x:v>
      </x:c>
      <x:c r="H74" s="3" t="n">
        <x:v>10.799999999999999</x:v>
      </x:c>
      <x:c r="I74" s="3" t="n">
        <x:v>34.4</x:v>
      </x:c>
      <x:c r="J74" s="3" t="n">
        <x:v>4.2</x:v>
      </x:c>
      <x:c r="K74" t="str">
        <x:v>App</x:v>
      </x:c>
      <x:c r="L74" t="str">
        <x:v>Tech 1</x:v>
      </x:c>
    </x:row>
    <x:row r="75">
      <x:c r="A75" t="str">
        <x:v>TS-8074</x:v>
      </x:c>
      <x:c r="B75" t="str">
        <x:v>Feb</x:v>
      </x:c>
      <x:c r="C75" t="str">
        <x:v>Resolved</x:v>
      </x:c>
      <x:c r="D75" t="str">
        <x:v>Landline</x:v>
      </x:c>
      <x:c r="E75" t="str">
        <x:v>South</x:v>
      </x:c>
      <x:c r="F75" t="str">
        <x:v>Medium</x:v>
      </x:c>
      <x:c r="G75" t="str">
        <x:v>Service Outage</x:v>
      </x:c>
      <x:c r="H75" s="3" t="n">
        <x:v>12.1</x:v>
      </x:c>
      <x:c r="I75" s="3" t="n">
        <x:v>36.1</x:v>
      </x:c>
      <x:c r="J75" s="3" t="n">
        <x:v>2.8</x:v>
      </x:c>
      <x:c r="K75" t="str">
        <x:v>Retail</x:v>
      </x:c>
      <x:c r="L75" t="str">
        <x:v>Tech 8</x:v>
      </x:c>
    </x:row>
    <x:row r="76">
      <x:c r="A76" t="str">
        <x:v>TS-8075</x:v>
      </x:c>
      <x:c r="B76" t="str">
        <x:v>Mar</x:v>
      </x:c>
      <x:c r="C76" t="str">
        <x:v>In Progress</x:v>
      </x:c>
      <x:c r="D76" t="str">
        <x:v>TV</x:v>
      </x:c>
      <x:c r="E76" t="str">
        <x:v>East</x:v>
      </x:c>
      <x:c r="F76" t="str">
        <x:v>High</x:v>
      </x:c>
      <x:c r="G76" t="str">
        <x:v>Dropped Calls</x:v>
      </x:c>
      <x:c r="H76" s="3" t="n">
        <x:v>15.399999999999999</x:v>
      </x:c>
      <x:c r="I76" s="3" t="n">
        <x:v>45.8</x:v>
      </x:c>
      <x:c r="J76" s="3" t="n">
        <x:v>3.9</x:v>
      </x:c>
      <x:c r="K76" t="str">
        <x:v>Phone</x:v>
      </x:c>
      <x:c r="L76" t="str">
        <x:v>Tech 15</x:v>
      </x:c>
    </x:row>
    <x:row r="77">
      <x:c r="A77" t="str">
        <x:v>TS-8076</x:v>
      </x:c>
      <x:c r="B77" t="str">
        <x:v>Apr</x:v>
      </x:c>
      <x:c r="C77" t="str">
        <x:v>Open</x:v>
      </x:c>
      <x:c r="D77" t="str">
        <x:v>Mobile</x:v>
      </x:c>
      <x:c r="E77" t="str">
        <x:v>West</x:v>
      </x:c>
      <x:c r="F77" t="str">
        <x:v>Low</x:v>
      </x:c>
      <x:c r="G77" t="str">
        <x:v>Billing Error</x:v>
      </x:c>
      <x:c r="H77" s="3" t="n">
        <x:v>14.7</x:v>
      </x:c>
      <x:c r="I77" s="3" t="n">
        <x:v>39.5</x:v>
      </x:c>
      <x:c r="J77" s="3" t="n">
        <x:v>2.5</x:v>
      </x:c>
      <x:c r="K77" t="str">
        <x:v>Web</x:v>
      </x:c>
      <x:c r="L77" t="str">
        <x:v>Tech 4</x:v>
      </x:c>
    </x:row>
    <x:row r="78">
      <x:c r="A78" t="str">
        <x:v>TS-8077</x:v>
      </x:c>
      <x:c r="B78" t="str">
        <x:v>May</x:v>
      </x:c>
      <x:c r="C78" t="str">
        <x:v>Open</x:v>
      </x:c>
      <x:c r="D78" t="str">
        <x:v>Broadband</x:v>
      </x:c>
      <x:c r="E78" t="str">
        <x:v>North</x:v>
      </x:c>
      <x:c r="F78" t="str">
        <x:v>Medium</x:v>
      </x:c>
      <x:c r="G78" t="str">
        <x:v>No Signal</x:v>
      </x:c>
      <x:c r="H78" s="3" t="n">
        <x:v>16</x:v>
      </x:c>
      <x:c r="I78" s="3" t="n">
        <x:v>41.2</x:v>
      </x:c>
      <x:c r="J78" s="3" t="n">
        <x:v>3.6</x:v>
      </x:c>
      <x:c r="K78" t="str">
        <x:v>App</x:v>
      </x:c>
      <x:c r="L78" t="str">
        <x:v>Tech 11</x:v>
      </x:c>
    </x:row>
    <x:row r="79">
      <x:c r="A79" t="str">
        <x:v>TS-8078</x:v>
      </x:c>
      <x:c r="B79" t="str">
        <x:v>Jun</x:v>
      </x:c>
      <x:c r="C79" t="str">
        <x:v>Resolved</x:v>
      </x:c>
      <x:c r="D79" t="str">
        <x:v>Landline</x:v>
      </x:c>
      <x:c r="E79" t="str">
        <x:v>South</x:v>
      </x:c>
      <x:c r="F79" t="str">
        <x:v>High</x:v>
      </x:c>
      <x:c r="G79" t="str">
        <x:v>Installation Delay</x:v>
      </x:c>
      <x:c r="H79" s="3" t="n">
        <x:v>19.3</x:v>
      </x:c>
      <x:c r="I79" s="3" t="n">
        <x:v>50.9</x:v>
      </x:c>
      <x:c r="J79" s="3" t="n">
        <x:v>4.7</x:v>
      </x:c>
      <x:c r="K79" t="str">
        <x:v>Retail</x:v>
      </x:c>
      <x:c r="L79" t="str">
        <x:v>Tech 18</x:v>
      </x:c>
    </x:row>
    <x:row r="80">
      <x:c r="A80" t="str">
        <x:v>TS-8079</x:v>
      </x:c>
      <x:c r="B80" t="str">
        <x:v>Jul</x:v>
      </x:c>
      <x:c r="C80" t="str">
        <x:v>In Progress</x:v>
      </x:c>
      <x:c r="D80" t="str">
        <x:v>TV</x:v>
      </x:c>
      <x:c r="E80" t="str">
        <x:v>East</x:v>
      </x:c>
      <x:c r="F80" t="str">
        <x:v>Low</x:v>
      </x:c>
      <x:c r="G80" t="str">
        <x:v>Slow Internet</x:v>
      </x:c>
      <x:c r="H80" s="3" t="n">
        <x:v>18.599999999999998</x:v>
      </x:c>
      <x:c r="I80" s="3" t="n">
        <x:v>44.6</x:v>
      </x:c>
      <x:c r="J80" s="3" t="n">
        <x:v>3.3</x:v>
      </x:c>
      <x:c r="K80" t="str">
        <x:v>Phone</x:v>
      </x:c>
      <x:c r="L80" t="str">
        <x:v>Tech 7</x:v>
      </x:c>
    </x:row>
    <x:row r="81">
      <x:c r="A81" t="str">
        <x:v>TS-8080</x:v>
      </x:c>
      <x:c r="B81" t="str">
        <x:v>Aug</x:v>
      </x:c>
      <x:c r="C81" t="str">
        <x:v>Open</x:v>
      </x:c>
      <x:c r="D81" t="str">
        <x:v>Mobile</x:v>
      </x:c>
      <x:c r="E81" t="str">
        <x:v>West</x:v>
      </x:c>
      <x:c r="F81" t="str">
        <x:v>Medium</x:v>
      </x:c>
      <x:c r="G81" t="str">
        <x:v>Service Outage</x:v>
      </x:c>
      <x:c r="H81" s="3" t="n">
        <x:v>19.9</x:v>
      </x:c>
      <x:c r="I81" s="3" t="n">
        <x:v>46.3</x:v>
      </x:c>
      <x:c r="J81" s="3" t="n">
        <x:v>4.4</x:v>
      </x:c>
      <x:c r="K81" t="str">
        <x:v>Web</x:v>
      </x:c>
      <x:c r="L81" t="str">
        <x:v>Tech 14</x:v>
      </x:c>
    </x:row>
    <x:row r="82">
      <x:c r="A82" t="str">
        <x:v>TS-8081</x:v>
      </x:c>
      <x:c r="B82" t="str">
        <x:v>Sep</x:v>
      </x:c>
      <x:c r="C82" t="str">
        <x:v>Resolved</x:v>
      </x:c>
      <x:c r="D82" t="str">
        <x:v>Broadband</x:v>
      </x:c>
      <x:c r="E82" t="str">
        <x:v>North</x:v>
      </x:c>
      <x:c r="F82" t="str">
        <x:v>High</x:v>
      </x:c>
      <x:c r="G82" t="str">
        <x:v>Dropped Calls</x:v>
      </x:c>
      <x:c r="H82" s="3" t="n">
        <x:v>23.2</x:v>
      </x:c>
      <x:c r="I82" s="3" t="n">
        <x:v>56</x:v>
      </x:c>
      <x:c r="J82" s="3" t="n">
        <x:v>3</x:v>
      </x:c>
      <x:c r="K82" t="str">
        <x:v>App</x:v>
      </x:c>
      <x:c r="L82" t="str">
        <x:v>Tech 3</x:v>
      </x:c>
    </x:row>
    <x:row r="83">
      <x:c r="A83" t="str">
        <x:v>TS-8082</x:v>
      </x:c>
      <x:c r="B83" t="str">
        <x:v>Oct</x:v>
      </x:c>
      <x:c r="C83" t="str">
        <x:v>In Progress</x:v>
      </x:c>
      <x:c r="D83" t="str">
        <x:v>Landline</x:v>
      </x:c>
      <x:c r="E83" t="str">
        <x:v>South</x:v>
      </x:c>
      <x:c r="F83" t="str">
        <x:v>Low</x:v>
      </x:c>
      <x:c r="G83" t="str">
        <x:v>Billing Error</x:v>
      </x:c>
      <x:c r="H83" s="3" t="n">
        <x:v>1.5</x:v>
      </x:c>
      <x:c r="I83" s="3" t="n">
        <x:v>49.7</x:v>
      </x:c>
      <x:c r="J83" s="3" t="n">
        <x:v>4.1</x:v>
      </x:c>
      <x:c r="K83" t="str">
        <x:v>Retail</x:v>
      </x:c>
      <x:c r="L83" t="str">
        <x:v>Tech 10</x:v>
      </x:c>
    </x:row>
    <x:row r="84">
      <x:c r="A84" t="str">
        <x:v>TS-8083</x:v>
      </x:c>
      <x:c r="B84" t="str">
        <x:v>Nov</x:v>
      </x:c>
      <x:c r="C84" t="str">
        <x:v>Open</x:v>
      </x:c>
      <x:c r="D84" t="str">
        <x:v>TV</x:v>
      </x:c>
      <x:c r="E84" t="str">
        <x:v>East</x:v>
      </x:c>
      <x:c r="F84" t="str">
        <x:v>Medium</x:v>
      </x:c>
      <x:c r="G84" t="str">
        <x:v>No Signal</x:v>
      </x:c>
      <x:c r="H84" s="3" t="n">
        <x:v>2.8</x:v>
      </x:c>
      <x:c r="I84" s="3" t="n">
        <x:v>51.4</x:v>
      </x:c>
      <x:c r="J84" s="3" t="n">
        <x:v>2.7</x:v>
      </x:c>
      <x:c r="K84" t="str">
        <x:v>Phone</x:v>
      </x:c>
      <x:c r="L84" t="str">
        <x:v>Tech 17</x:v>
      </x:c>
    </x:row>
    <x:row r="85">
      <x:c r="A85" t="str">
        <x:v>TS-8084</x:v>
      </x:c>
      <x:c r="B85" t="str">
        <x:v>Dec</x:v>
      </x:c>
      <x:c r="C85" t="str">
        <x:v>Resolved</x:v>
      </x:c>
      <x:c r="D85" t="str">
        <x:v>Mobile</x:v>
      </x:c>
      <x:c r="E85" t="str">
        <x:v>West</x:v>
      </x:c>
      <x:c r="F85" t="str">
        <x:v>High</x:v>
      </x:c>
      <x:c r="G85" t="str">
        <x:v>Installation Delay</x:v>
      </x:c>
      <x:c r="H85" s="3" t="n">
        <x:v>6.1</x:v>
      </x:c>
      <x:c r="I85" s="3" t="n">
        <x:v>61.1</x:v>
      </x:c>
      <x:c r="J85" s="3" t="n">
        <x:v>3.8</x:v>
      </x:c>
      <x:c r="K85" t="str">
        <x:v>Web</x:v>
      </x:c>
      <x:c r="L85" t="str">
        <x:v>Tech 6</x:v>
      </x:c>
    </x:row>
    <x:row r="86">
      <x:c r="A86" t="str">
        <x:v>TS-8085</x:v>
      </x:c>
      <x:c r="B86" t="str">
        <x:v>Jan</x:v>
      </x:c>
      <x:c r="C86" t="str">
        <x:v>In Progress</x:v>
      </x:c>
      <x:c r="D86" t="str">
        <x:v>Broadband</x:v>
      </x:c>
      <x:c r="E86" t="str">
        <x:v>North</x:v>
      </x:c>
      <x:c r="F86" t="str">
        <x:v>Low</x:v>
      </x:c>
      <x:c r="G86" t="str">
        <x:v>Slow Internet</x:v>
      </x:c>
      <x:c r="H86" s="3" t="n">
        <x:v>5.4</x:v>
      </x:c>
      <x:c r="I86" s="3" t="n">
        <x:v>54.8</x:v>
      </x:c>
      <x:c r="J86" s="3" t="n">
        <x:v>4.9</x:v>
      </x:c>
      <x:c r="K86" t="str">
        <x:v>App</x:v>
      </x:c>
      <x:c r="L86" t="str">
        <x:v>Tech 13</x:v>
      </x:c>
    </x:row>
    <x:row r="87">
      <x:c r="A87" t="str">
        <x:v>TS-8086</x:v>
      </x:c>
      <x:c r="B87" t="str">
        <x:v>Feb</x:v>
      </x:c>
      <x:c r="C87" t="str">
        <x:v>Open</x:v>
      </x:c>
      <x:c r="D87" t="str">
        <x:v>Landline</x:v>
      </x:c>
      <x:c r="E87" t="str">
        <x:v>South</x:v>
      </x:c>
      <x:c r="F87" t="str">
        <x:v>Medium</x:v>
      </x:c>
      <x:c r="G87" t="str">
        <x:v>Service Outage</x:v>
      </x:c>
      <x:c r="H87" s="3" t="n">
        <x:v>6.7</x:v>
      </x:c>
      <x:c r="I87" s="3" t="n">
        <x:v>56.5</x:v>
      </x:c>
      <x:c r="J87" s="3" t="n">
        <x:v>3.5</x:v>
      </x:c>
      <x:c r="K87" t="str">
        <x:v>Retail</x:v>
      </x:c>
      <x:c r="L87" t="str">
        <x:v>Tech 2</x:v>
      </x:c>
    </x:row>
    <x:row r="88">
      <x:c r="A88" t="str">
        <x:v>TS-8087</x:v>
      </x:c>
      <x:c r="B88" t="str">
        <x:v>Mar</x:v>
      </x:c>
      <x:c r="C88" t="str">
        <x:v>Resolved</x:v>
      </x:c>
      <x:c r="D88" t="str">
        <x:v>TV</x:v>
      </x:c>
      <x:c r="E88" t="str">
        <x:v>East</x:v>
      </x:c>
      <x:c r="F88" t="str">
        <x:v>High</x:v>
      </x:c>
      <x:c r="G88" t="str">
        <x:v>Dropped Calls</x:v>
      </x:c>
      <x:c r="H88" s="3" t="n">
        <x:v>10</x:v>
      </x:c>
      <x:c r="I88" s="3" t="n">
        <x:v>66.2</x:v>
      </x:c>
      <x:c r="J88" s="3" t="n">
        <x:v>4.6</x:v>
      </x:c>
      <x:c r="K88" t="str">
        <x:v>Phone</x:v>
      </x:c>
      <x:c r="L88" t="str">
        <x:v>Tech 9</x:v>
      </x:c>
    </x:row>
    <x:row r="89">
      <x:c r="A89" t="str">
        <x:v>TS-8088</x:v>
      </x:c>
      <x:c r="B89" t="str">
        <x:v>Apr</x:v>
      </x:c>
      <x:c r="C89" t="str">
        <x:v>In Progress</x:v>
      </x:c>
      <x:c r="D89" t="str">
        <x:v>Mobile</x:v>
      </x:c>
      <x:c r="E89" t="str">
        <x:v>West</x:v>
      </x:c>
      <x:c r="F89" t="str">
        <x:v>Low</x:v>
      </x:c>
      <x:c r="G89" t="str">
        <x:v>Billing Error</x:v>
      </x:c>
      <x:c r="H89" s="3" t="n">
        <x:v>9.299999999999999</x:v>
      </x:c>
      <x:c r="I89" s="3" t="n">
        <x:v>59.9</x:v>
      </x:c>
      <x:c r="J89" s="3" t="n">
        <x:v>3.2</x:v>
      </x:c>
      <x:c r="K89" t="str">
        <x:v>Web</x:v>
      </x:c>
      <x:c r="L89" t="str">
        <x:v>Tech 16</x:v>
      </x:c>
    </x:row>
    <x:row r="90">
      <x:c r="A90" t="str">
        <x:v>TS-8089</x:v>
      </x:c>
      <x:c r="B90" t="str">
        <x:v>May</x:v>
      </x:c>
      <x:c r="C90" t="str">
        <x:v>Open</x:v>
      </x:c>
      <x:c r="D90" t="str">
        <x:v>Broadband</x:v>
      </x:c>
      <x:c r="E90" t="str">
        <x:v>North</x:v>
      </x:c>
      <x:c r="F90" t="str">
        <x:v>Medium</x:v>
      </x:c>
      <x:c r="G90" t="str">
        <x:v>No Signal</x:v>
      </x:c>
      <x:c r="H90" s="3" t="n">
        <x:v>10.6</x:v>
      </x:c>
      <x:c r="I90" s="3" t="n">
        <x:v>61.6</x:v>
      </x:c>
      <x:c r="J90" s="3" t="n">
        <x:v>4.3</x:v>
      </x:c>
      <x:c r="K90" t="str">
        <x:v>App</x:v>
      </x:c>
      <x:c r="L90" t="str">
        <x:v>Tech 5</x:v>
      </x:c>
    </x:row>
    <x:row r="91">
      <x:c r="A91" t="str">
        <x:v>TS-8090</x:v>
      </x:c>
      <x:c r="B91" t="str">
        <x:v>Jun</x:v>
      </x:c>
      <x:c r="C91" t="str">
        <x:v>Resolved</x:v>
      </x:c>
      <x:c r="D91" t="str">
        <x:v>Landline</x:v>
      </x:c>
      <x:c r="E91" t="str">
        <x:v>South</x:v>
      </x:c>
      <x:c r="F91" t="str">
        <x:v>High</x:v>
      </x:c>
      <x:c r="G91" t="str">
        <x:v>Installation Delay</x:v>
      </x:c>
      <x:c r="H91" s="3" t="n">
        <x:v>13.899999999999999</x:v>
      </x:c>
      <x:c r="I91" s="3" t="n">
        <x:v>71.3</x:v>
      </x:c>
      <x:c r="J91" s="3" t="n">
        <x:v>2.9</x:v>
      </x:c>
      <x:c r="K91" t="str">
        <x:v>Retail</x:v>
      </x:c>
      <x:c r="L91" t="str">
        <x:v>Tech 12</x:v>
      </x:c>
    </x:row>
    <x:row r="92">
      <x:c r="A92" t="str">
        <x:v>TS-8091</x:v>
      </x:c>
      <x:c r="B92" t="str">
        <x:v>Jul</x:v>
      </x:c>
      <x:c r="C92" t="str">
        <x:v>In Progress</x:v>
      </x:c>
      <x:c r="D92" t="str">
        <x:v>TV</x:v>
      </x:c>
      <x:c r="E92" t="str">
        <x:v>East</x:v>
      </x:c>
      <x:c r="F92" t="str">
        <x:v>Low</x:v>
      </x:c>
      <x:c r="G92" t="str">
        <x:v>Slow Internet</x:v>
      </x:c>
      <x:c r="H92" s="3" t="n">
        <x:v>13.2</x:v>
      </x:c>
      <x:c r="I92" s="3" t="n">
        <x:v>65</x:v>
      </x:c>
      <x:c r="J92" s="3" t="n">
        <x:v>4</x:v>
      </x:c>
      <x:c r="K92" t="str">
        <x:v>Phone</x:v>
      </x:c>
      <x:c r="L92" t="str">
        <x:v>Tech 1</x:v>
      </x:c>
    </x:row>
    <x:row r="93">
      <x:c r="A93" t="str">
        <x:v>TS-8092</x:v>
      </x:c>
      <x:c r="B93" t="str">
        <x:v>Aug</x:v>
      </x:c>
      <x:c r="C93" t="str">
        <x:v>Open</x:v>
      </x:c>
      <x:c r="D93" t="str">
        <x:v>Mobile</x:v>
      </x:c>
      <x:c r="E93" t="str">
        <x:v>West</x:v>
      </x:c>
      <x:c r="F93" t="str">
        <x:v>Medium</x:v>
      </x:c>
      <x:c r="G93" t="str">
        <x:v>Service Outage</x:v>
      </x:c>
      <x:c r="H93" s="3" t="n">
        <x:v>14.5</x:v>
      </x:c>
      <x:c r="I93" s="3" t="n">
        <x:v>66.7</x:v>
      </x:c>
      <x:c r="J93" s="3" t="n">
        <x:v>2.6</x:v>
      </x:c>
      <x:c r="K93" t="str">
        <x:v>Web</x:v>
      </x:c>
      <x:c r="L93" t="str">
        <x:v>Tech 8</x:v>
      </x:c>
    </x:row>
    <x:row r="94">
      <x:c r="A94" t="str">
        <x:v>TS-8093</x:v>
      </x:c>
      <x:c r="B94" t="str">
        <x:v>Sep</x:v>
      </x:c>
      <x:c r="C94" t="str">
        <x:v>Resolved</x:v>
      </x:c>
      <x:c r="D94" t="str">
        <x:v>Broadband</x:v>
      </x:c>
      <x:c r="E94" t="str">
        <x:v>North</x:v>
      </x:c>
      <x:c r="F94" t="str">
        <x:v>High</x:v>
      </x:c>
      <x:c r="G94" t="str">
        <x:v>Dropped Calls</x:v>
      </x:c>
      <x:c r="H94" s="3" t="n">
        <x:v>17.799999999999997</x:v>
      </x:c>
      <x:c r="I94" s="3" t="n">
        <x:v>76.4</x:v>
      </x:c>
      <x:c r="J94" s="3" t="n">
        <x:v>3.7</x:v>
      </x:c>
      <x:c r="K94" t="str">
        <x:v>App</x:v>
      </x:c>
      <x:c r="L94" t="str">
        <x:v>Tech 15</x:v>
      </x:c>
    </x:row>
    <x:row r="95">
      <x:c r="A95" t="str">
        <x:v>TS-8094</x:v>
      </x:c>
      <x:c r="B95" t="str">
        <x:v>Oct</x:v>
      </x:c>
      <x:c r="C95" t="str">
        <x:v>In Progress</x:v>
      </x:c>
      <x:c r="D95" t="str">
        <x:v>Landline</x:v>
      </x:c>
      <x:c r="E95" t="str">
        <x:v>South</x:v>
      </x:c>
      <x:c r="F95" t="str">
        <x:v>Low</x:v>
      </x:c>
      <x:c r="G95" t="str">
        <x:v>Billing Error</x:v>
      </x:c>
      <x:c r="H95" s="3" t="n">
        <x:v>17.1</x:v>
      </x:c>
      <x:c r="I95" s="3" t="n">
        <x:v>70.1</x:v>
      </x:c>
      <x:c r="J95" s="3" t="n">
        <x:v>4.8</x:v>
      </x:c>
      <x:c r="K95" t="str">
        <x:v>Retail</x:v>
      </x:c>
      <x:c r="L95" t="str">
        <x:v>Tech 4</x:v>
      </x:c>
    </x:row>
    <x:row r="96">
      <x:c r="A96" t="str">
        <x:v>TS-8095</x:v>
      </x:c>
      <x:c r="B96" t="str">
        <x:v>Nov</x:v>
      </x:c>
      <x:c r="C96" t="str">
        <x:v>Open</x:v>
      </x:c>
      <x:c r="D96" t="str">
        <x:v>TV</x:v>
      </x:c>
      <x:c r="E96" t="str">
        <x:v>East</x:v>
      </x:c>
      <x:c r="F96" t="str">
        <x:v>Medium</x:v>
      </x:c>
      <x:c r="G96" t="str">
        <x:v>No Signal</x:v>
      </x:c>
      <x:c r="H96" s="3" t="n">
        <x:v>18.4</x:v>
      </x:c>
      <x:c r="I96" s="3" t="n">
        <x:v>71.8</x:v>
      </x:c>
      <x:c r="J96" s="3" t="n">
        <x:v>3.4</x:v>
      </x:c>
      <x:c r="K96" t="str">
        <x:v>Phone</x:v>
      </x:c>
      <x:c r="L96" t="str">
        <x:v>Tech 11</x:v>
      </x:c>
    </x:row>
    <x:row r="97">
      <x:c r="A97" t="str">
        <x:v>TS-8096</x:v>
      </x:c>
      <x:c r="B97" t="str">
        <x:v>Dec</x:v>
      </x:c>
      <x:c r="C97" t="str">
        <x:v>Open</x:v>
      </x:c>
      <x:c r="D97" t="str">
        <x:v>Mobile</x:v>
      </x:c>
      <x:c r="E97" t="str">
        <x:v>West</x:v>
      </x:c>
      <x:c r="F97" t="str">
        <x:v>High</x:v>
      </x:c>
      <x:c r="G97" t="str">
        <x:v>Installation Delay</x:v>
      </x:c>
      <x:c r="H97" s="3" t="n">
        <x:v>21.7</x:v>
      </x:c>
      <x:c r="I97" s="3" t="n">
        <x:v>81.5</x:v>
      </x:c>
      <x:c r="J97" s="3" t="n">
        <x:v>4.5</x:v>
      </x:c>
      <x:c r="K97" t="str">
        <x:v>Web</x:v>
      </x:c>
      <x:c r="L97" t="str">
        <x:v>Tech 18</x:v>
      </x:c>
    </x:row>
    <x:row r="98">
      <x:c r="A98" t="str">
        <x:v>TS-8097</x:v>
      </x:c>
      <x:c r="B98" t="str">
        <x:v>Jan</x:v>
      </x:c>
      <x:c r="C98" t="str">
        <x:v>Resolved</x:v>
      </x:c>
      <x:c r="D98" t="str">
        <x:v>Broadband</x:v>
      </x:c>
      <x:c r="E98" t="str">
        <x:v>North</x:v>
      </x:c>
      <x:c r="F98" t="str">
        <x:v>Low</x:v>
      </x:c>
      <x:c r="G98" t="str">
        <x:v>Slow Internet</x:v>
      </x:c>
      <x:c r="H98" s="3" t="n">
        <x:v>21</x:v>
      </x:c>
      <x:c r="I98" s="3" t="n">
        <x:v>75.2</x:v>
      </x:c>
      <x:c r="J98" s="3" t="n">
        <x:v>3.1</x:v>
      </x:c>
      <x:c r="K98" t="str">
        <x:v>App</x:v>
      </x:c>
      <x:c r="L98" t="str">
        <x:v>Tech 7</x:v>
      </x:c>
    </x:row>
    <x:row r="99">
      <x:c r="A99" t="str">
        <x:v>TS-8098</x:v>
      </x:c>
      <x:c r="B99" t="str">
        <x:v>Feb</x:v>
      </x:c>
      <x:c r="C99" t="str">
        <x:v>In Progress</x:v>
      </x:c>
      <x:c r="D99" t="str">
        <x:v>Landline</x:v>
      </x:c>
      <x:c r="E99" t="str">
        <x:v>South</x:v>
      </x:c>
      <x:c r="F99" t="str">
        <x:v>Medium</x:v>
      </x:c>
      <x:c r="G99" t="str">
        <x:v>Service Outage</x:v>
      </x:c>
      <x:c r="H99" s="3" t="n">
        <x:v>1.3</x:v>
      </x:c>
      <x:c r="I99" s="3" t="n">
        <x:v>76.9</x:v>
      </x:c>
      <x:c r="J99" s="3" t="n">
        <x:v>4.2</x:v>
      </x:c>
      <x:c r="K99" t="str">
        <x:v>Retail</x:v>
      </x:c>
      <x:c r="L99" t="str">
        <x:v>Tech 14</x:v>
      </x:c>
    </x:row>
    <x:row r="100">
      <x:c r="A100" t="str">
        <x:v>TS-8099</x:v>
      </x:c>
      <x:c r="B100" t="str">
        <x:v>Mar</x:v>
      </x:c>
      <x:c r="C100" t="str">
        <x:v>Open</x:v>
      </x:c>
      <x:c r="D100" t="str">
        <x:v>TV</x:v>
      </x:c>
      <x:c r="E100" t="str">
        <x:v>East</x:v>
      </x:c>
      <x:c r="F100" t="str">
        <x:v>High</x:v>
      </x:c>
      <x:c r="G100" t="str">
        <x:v>Dropped Calls</x:v>
      </x:c>
      <x:c r="H100" s="3" t="n">
        <x:v>4.6</x:v>
      </x:c>
      <x:c r="I100" s="3" t="n">
        <x:v>86.6</x:v>
      </x:c>
      <x:c r="J100" s="3" t="n">
        <x:v>2.8</x:v>
      </x:c>
      <x:c r="K100" t="str">
        <x:v>Phone</x:v>
      </x:c>
      <x:c r="L100" t="str">
        <x:v>Tech 3</x:v>
      </x:c>
    </x:row>
    <x:row r="101">
      <x:c r="A101" t="str">
        <x:v>TS-8100</x:v>
      </x:c>
      <x:c r="B101" t="str">
        <x:v>Apr</x:v>
      </x:c>
      <x:c r="C101" t="str">
        <x:v>Resolved</x:v>
      </x:c>
      <x:c r="D101" t="str">
        <x:v>Mobile</x:v>
      </x:c>
      <x:c r="E101" t="str">
        <x:v>West</x:v>
      </x:c>
      <x:c r="F101" t="str">
        <x:v>Low</x:v>
      </x:c>
      <x:c r="G101" t="str">
        <x:v>Billing Error</x:v>
      </x:c>
      <x:c r="H101" s="3" t="n">
        <x:v>3.9000000000000004</x:v>
      </x:c>
      <x:c r="I101" s="3" t="n">
        <x:v>80.3</x:v>
      </x:c>
      <x:c r="J101" s="3" t="n">
        <x:v>3.9</x:v>
      </x:c>
      <x:c r="K101" t="str">
        <x:v>Web</x:v>
      </x:c>
      <x:c r="L101" t="str">
        <x:v>Tech 10</x:v>
      </x:c>
    </x:row>
    <x:row r="102">
      <x:c r="A102" t="str">
        <x:v>TS-8101</x:v>
      </x:c>
      <x:c r="B102" t="str">
        <x:v>May</x:v>
      </x:c>
      <x:c r="C102" t="str">
        <x:v>In Progress</x:v>
      </x:c>
      <x:c r="D102" t="str">
        <x:v>Broadband</x:v>
      </x:c>
      <x:c r="E102" t="str">
        <x:v>North</x:v>
      </x:c>
      <x:c r="F102" t="str">
        <x:v>Medium</x:v>
      </x:c>
      <x:c r="G102" t="str">
        <x:v>No Signal</x:v>
      </x:c>
      <x:c r="H102" s="3" t="n">
        <x:v>5.2</x:v>
      </x:c>
      <x:c r="I102" s="3" t="n">
        <x:v>82</x:v>
      </x:c>
      <x:c r="J102" s="3" t="n">
        <x:v>2.5</x:v>
      </x:c>
      <x:c r="K102" t="str">
        <x:v>App</x:v>
      </x:c>
      <x:c r="L102" t="str">
        <x:v>Tech 17</x:v>
      </x:c>
    </x:row>
    <x:row r="103">
      <x:c r="A103" t="str">
        <x:v>TS-8102</x:v>
      </x:c>
      <x:c r="B103" t="str">
        <x:v>Jun</x:v>
      </x:c>
      <x:c r="C103" t="str">
        <x:v>Open</x:v>
      </x:c>
      <x:c r="D103" t="str">
        <x:v>Landline</x:v>
      </x:c>
      <x:c r="E103" t="str">
        <x:v>South</x:v>
      </x:c>
      <x:c r="F103" t="str">
        <x:v>High</x:v>
      </x:c>
      <x:c r="G103" t="str">
        <x:v>Installation Delay</x:v>
      </x:c>
      <x:c r="H103" s="3" t="n">
        <x:v>8.5</x:v>
      </x:c>
      <x:c r="I103" s="3" t="n">
        <x:v>91.7</x:v>
      </x:c>
      <x:c r="J103" s="3" t="n">
        <x:v>3.6</x:v>
      </x:c>
      <x:c r="K103" t="str">
        <x:v>Retail</x:v>
      </x:c>
      <x:c r="L103" t="str">
        <x:v>Tech 6</x:v>
      </x:c>
    </x:row>
    <x:row r="104">
      <x:c r="A104" t="str">
        <x:v>TS-8103</x:v>
      </x:c>
      <x:c r="B104" t="str">
        <x:v>Jul</x:v>
      </x:c>
      <x:c r="C104" t="str">
        <x:v>Resolved</x:v>
      </x:c>
      <x:c r="D104" t="str">
        <x:v>TV</x:v>
      </x:c>
      <x:c r="E104" t="str">
        <x:v>East</x:v>
      </x:c>
      <x:c r="F104" t="str">
        <x:v>Low</x:v>
      </x:c>
      <x:c r="G104" t="str">
        <x:v>Slow Internet</x:v>
      </x:c>
      <x:c r="H104" s="3" t="n">
        <x:v>7.8</x:v>
      </x:c>
      <x:c r="I104" s="3" t="n">
        <x:v>85.4</x:v>
      </x:c>
      <x:c r="J104" s="3" t="n">
        <x:v>4.7</x:v>
      </x:c>
      <x:c r="K104" t="str">
        <x:v>Phone</x:v>
      </x:c>
      <x:c r="L104" t="str">
        <x:v>Tech 13</x:v>
      </x:c>
    </x:row>
    <x:row r="105">
      <x:c r="A105" t="str">
        <x:v>TS-8104</x:v>
      </x:c>
      <x:c r="B105" t="str">
        <x:v>Aug</x:v>
      </x:c>
      <x:c r="C105" t="str">
        <x:v>In Progress</x:v>
      </x:c>
      <x:c r="D105" t="str">
        <x:v>Mobile</x:v>
      </x:c>
      <x:c r="E105" t="str">
        <x:v>West</x:v>
      </x:c>
      <x:c r="F105" t="str">
        <x:v>Medium</x:v>
      </x:c>
      <x:c r="G105" t="str">
        <x:v>Service Outage</x:v>
      </x:c>
      <x:c r="H105" s="3" t="n">
        <x:v>9.1</x:v>
      </x:c>
      <x:c r="I105" s="3" t="n">
        <x:v>87.1</x:v>
      </x:c>
      <x:c r="J105" s="3" t="n">
        <x:v>3.3</x:v>
      </x:c>
      <x:c r="K105" t="str">
        <x:v>Web</x:v>
      </x:c>
      <x:c r="L105" t="str">
        <x:v>Tech 2</x:v>
      </x:c>
    </x:row>
    <x:row r="106">
      <x:c r="A106" t="str">
        <x:v>TS-8105</x:v>
      </x:c>
      <x:c r="B106" t="str">
        <x:v>Sep</x:v>
      </x:c>
      <x:c r="C106" t="str">
        <x:v>Open</x:v>
      </x:c>
      <x:c r="D106" t="str">
        <x:v>Broadband</x:v>
      </x:c>
      <x:c r="E106" t="str">
        <x:v>North</x:v>
      </x:c>
      <x:c r="F106" t="str">
        <x:v>High</x:v>
      </x:c>
      <x:c r="G106" t="str">
        <x:v>Dropped Calls</x:v>
      </x:c>
      <x:c r="H106" s="3" t="n">
        <x:v>12.399999999999999</x:v>
      </x:c>
      <x:c r="I106" s="3" t="n">
        <x:v>96.8</x:v>
      </x:c>
      <x:c r="J106" s="3" t="n">
        <x:v>4.4</x:v>
      </x:c>
      <x:c r="K106" t="str">
        <x:v>App</x:v>
      </x:c>
      <x:c r="L106" t="str">
        <x:v>Tech 9</x:v>
      </x:c>
    </x:row>
    <x:row r="107">
      <x:c r="A107" t="str">
        <x:v>TS-8106</x:v>
      </x:c>
      <x:c r="B107" t="str">
        <x:v>Oct</x:v>
      </x:c>
      <x:c r="C107" t="str">
        <x:v>Resolved</x:v>
      </x:c>
      <x:c r="D107" t="str">
        <x:v>Landline</x:v>
      </x:c>
      <x:c r="E107" t="str">
        <x:v>South</x:v>
      </x:c>
      <x:c r="F107" t="str">
        <x:v>Low</x:v>
      </x:c>
      <x:c r="G107" t="str">
        <x:v>Billing Error</x:v>
      </x:c>
      <x:c r="H107" s="3" t="n">
        <x:v>11.7</x:v>
      </x:c>
      <x:c r="I107" s="3" t="n">
        <x:v>90.5</x:v>
      </x:c>
      <x:c r="J107" s="3" t="n">
        <x:v>3</x:v>
      </x:c>
      <x:c r="K107" t="str">
        <x:v>Retail</x:v>
      </x:c>
      <x:c r="L107" t="str">
        <x:v>Tech 16</x:v>
      </x:c>
    </x:row>
    <x:row r="108">
      <x:c r="A108" t="str">
        <x:v>TS-8107</x:v>
      </x:c>
      <x:c r="B108" t="str">
        <x:v>Nov</x:v>
      </x:c>
      <x:c r="C108" t="str">
        <x:v>In Progress</x:v>
      </x:c>
      <x:c r="D108" t="str">
        <x:v>TV</x:v>
      </x:c>
      <x:c r="E108" t="str">
        <x:v>East</x:v>
      </x:c>
      <x:c r="F108" t="str">
        <x:v>Medium</x:v>
      </x:c>
      <x:c r="G108" t="str">
        <x:v>No Signal</x:v>
      </x:c>
      <x:c r="H108" s="3" t="n">
        <x:v>13</x:v>
      </x:c>
      <x:c r="I108" s="3" t="n">
        <x:v>92.2</x:v>
      </x:c>
      <x:c r="J108" s="3" t="n">
        <x:v>4.1</x:v>
      </x:c>
      <x:c r="K108" t="str">
        <x:v>Phone</x:v>
      </x:c>
      <x:c r="L108" t="str">
        <x:v>Tech 5</x:v>
      </x:c>
    </x:row>
    <x:row r="109">
      <x:c r="A109" t="str">
        <x:v>TS-8108</x:v>
      </x:c>
      <x:c r="B109" t="str">
        <x:v>Dec</x:v>
      </x:c>
      <x:c r="C109" t="str">
        <x:v>Open</x:v>
      </x:c>
      <x:c r="D109" t="str">
        <x:v>Mobile</x:v>
      </x:c>
      <x:c r="E109" t="str">
        <x:v>West</x:v>
      </x:c>
      <x:c r="F109" t="str">
        <x:v>High</x:v>
      </x:c>
      <x:c r="G109" t="str">
        <x:v>Installation Delay</x:v>
      </x:c>
      <x:c r="H109" s="3" t="n">
        <x:v>16.299999999999997</x:v>
      </x:c>
      <x:c r="I109" s="3" t="n">
        <x:v>101.9</x:v>
      </x:c>
      <x:c r="J109" s="3" t="n">
        <x:v>2.7</x:v>
      </x:c>
      <x:c r="K109" t="str">
        <x:v>Web</x:v>
      </x:c>
      <x:c r="L109" t="str">
        <x:v>Tech 12</x:v>
      </x:c>
    </x:row>
    <x:row r="110">
      <x:c r="A110" t="str">
        <x:v>TS-8109</x:v>
      </x:c>
      <x:c r="B110" t="str">
        <x:v>Jan</x:v>
      </x:c>
      <x:c r="C110" t="str">
        <x:v>Resolved</x:v>
      </x:c>
      <x:c r="D110" t="str">
        <x:v>Broadband</x:v>
      </x:c>
      <x:c r="E110" t="str">
        <x:v>North</x:v>
      </x:c>
      <x:c r="F110" t="str">
        <x:v>Low</x:v>
      </x:c>
      <x:c r="G110" t="str">
        <x:v>Slow Internet</x:v>
      </x:c>
      <x:c r="H110" s="3" t="n">
        <x:v>15.6</x:v>
      </x:c>
      <x:c r="I110" s="3" t="n">
        <x:v>95.6</x:v>
      </x:c>
      <x:c r="J110" s="3" t="n">
        <x:v>3.8</x:v>
      </x:c>
      <x:c r="K110" t="str">
        <x:v>App</x:v>
      </x:c>
      <x:c r="L110" t="str">
        <x:v>Tech 1</x:v>
      </x:c>
    </x:row>
    <x:row r="111">
      <x:c r="A111" t="str">
        <x:v>TS-8110</x:v>
      </x:c>
      <x:c r="B111" t="str">
        <x:v>Feb</x:v>
      </x:c>
      <x:c r="C111" t="str">
        <x:v>In Progress</x:v>
      </x:c>
      <x:c r="D111" t="str">
        <x:v>Landline</x:v>
      </x:c>
      <x:c r="E111" t="str">
        <x:v>South</x:v>
      </x:c>
      <x:c r="F111" t="str">
        <x:v>Medium</x:v>
      </x:c>
      <x:c r="G111" t="str">
        <x:v>Service Outage</x:v>
      </x:c>
      <x:c r="H111" s="3" t="n">
        <x:v>16.9</x:v>
      </x:c>
      <x:c r="I111" s="3" t="n">
        <x:v>97.3</x:v>
      </x:c>
      <x:c r="J111" s="3" t="n">
        <x:v>4.9</x:v>
      </x:c>
      <x:c r="K111" t="str">
        <x:v>Retail</x:v>
      </x:c>
      <x:c r="L111" t="str">
        <x:v>Tech 8</x:v>
      </x:c>
    </x:row>
    <x:row r="112">
      <x:c r="A112" t="str">
        <x:v>TS-8111</x:v>
      </x:c>
      <x:c r="B112" t="str">
        <x:v>Mar</x:v>
      </x:c>
      <x:c r="C112" t="str">
        <x:v>Open</x:v>
      </x:c>
      <x:c r="D112" t="str">
        <x:v>TV</x:v>
      </x:c>
      <x:c r="E112" t="str">
        <x:v>East</x:v>
      </x:c>
      <x:c r="F112" t="str">
        <x:v>High</x:v>
      </x:c>
      <x:c r="G112" t="str">
        <x:v>Dropped Calls</x:v>
      </x:c>
      <x:c r="H112" s="3" t="n">
        <x:v>20.2</x:v>
      </x:c>
      <x:c r="I112" s="3" t="n">
        <x:v>107</x:v>
      </x:c>
      <x:c r="J112" s="3" t="n">
        <x:v>3.5</x:v>
      </x:c>
      <x:c r="K112" t="str">
        <x:v>Phone</x:v>
      </x:c>
      <x:c r="L112" t="str">
        <x:v>Tech 15</x:v>
      </x:c>
    </x:row>
    <x:row r="113">
      <x:c r="A113" t="str">
        <x:v>TS-8112</x:v>
      </x:c>
      <x:c r="B113" t="str">
        <x:v>Apr</x:v>
      </x:c>
      <x:c r="C113" t="str">
        <x:v>Resolved</x:v>
      </x:c>
      <x:c r="D113" t="str">
        <x:v>Mobile</x:v>
      </x:c>
      <x:c r="E113" t="str">
        <x:v>West</x:v>
      </x:c>
      <x:c r="F113" t="str">
        <x:v>Low</x:v>
      </x:c>
      <x:c r="G113" t="str">
        <x:v>Billing Error</x:v>
      </x:c>
      <x:c r="H113" s="3" t="n">
        <x:v>19.5</x:v>
      </x:c>
      <x:c r="I113" s="3" t="n">
        <x:v>100.7</x:v>
      </x:c>
      <x:c r="J113" s="3" t="n">
        <x:v>4.6</x:v>
      </x:c>
      <x:c r="K113" t="str">
        <x:v>Web</x:v>
      </x:c>
      <x:c r="L113" t="str">
        <x:v>Tech 4</x:v>
      </x:c>
    </x:row>
    <x:row r="114">
      <x:c r="A114" t="str">
        <x:v>TS-8113</x:v>
      </x:c>
      <x:c r="B114" t="str">
        <x:v>May</x:v>
      </x:c>
      <x:c r="C114" t="str">
        <x:v>In Progress</x:v>
      </x:c>
      <x:c r="D114" t="str">
        <x:v>Broadband</x:v>
      </x:c>
      <x:c r="E114" t="str">
        <x:v>North</x:v>
      </x:c>
      <x:c r="F114" t="str">
        <x:v>Medium</x:v>
      </x:c>
      <x:c r="G114" t="str">
        <x:v>No Signal</x:v>
      </x:c>
      <x:c r="H114" s="3" t="n">
        <x:v>20.8</x:v>
      </x:c>
      <x:c r="I114" s="3" t="n">
        <x:v>102.4</x:v>
      </x:c>
      <x:c r="J114" s="3" t="n">
        <x:v>3.2</x:v>
      </x:c>
      <x:c r="K114" t="str">
        <x:v>App</x:v>
      </x:c>
      <x:c r="L114" t="str">
        <x:v>Tech 11</x:v>
      </x:c>
    </x:row>
    <x:row r="115">
      <x:c r="A115" t="str">
        <x:v>TS-8114</x:v>
      </x:c>
      <x:c r="B115" t="str">
        <x:v>Jun</x:v>
      </x:c>
      <x:c r="C115" t="str">
        <x:v>Open</x:v>
      </x:c>
      <x:c r="D115" t="str">
        <x:v>Landline</x:v>
      </x:c>
      <x:c r="E115" t="str">
        <x:v>South</x:v>
      </x:c>
      <x:c r="F115" t="str">
        <x:v>High</x:v>
      </x:c>
      <x:c r="G115" t="str">
        <x:v>Installation Delay</x:v>
      </x:c>
      <x:c r="H115" s="3" t="n">
        <x:v>24.099999999999998</x:v>
      </x:c>
      <x:c r="I115" s="3" t="n">
        <x:v>16.1</x:v>
      </x:c>
      <x:c r="J115" s="3" t="n">
        <x:v>4.3</x:v>
      </x:c>
      <x:c r="K115" t="str">
        <x:v>Retail</x:v>
      </x:c>
      <x:c r="L115" t="str">
        <x:v>Tech 18</x:v>
      </x:c>
    </x:row>
    <x:row r="116">
      <x:c r="A116" t="str">
        <x:v>TS-8115</x:v>
      </x:c>
      <x:c r="B116" t="str">
        <x:v>Jul</x:v>
      </x:c>
      <x:c r="C116" t="str">
        <x:v>Open</x:v>
      </x:c>
      <x:c r="D116" t="str">
        <x:v>TV</x:v>
      </x:c>
      <x:c r="E116" t="str">
        <x:v>East</x:v>
      </x:c>
      <x:c r="F116" t="str">
        <x:v>Low</x:v>
      </x:c>
      <x:c r="G116" t="str">
        <x:v>Slow Internet</x:v>
      </x:c>
      <x:c r="H116" s="3" t="n">
        <x:v>2.4</x:v>
      </x:c>
      <x:c r="I116" s="3" t="n">
        <x:v>9.8</x:v>
      </x:c>
      <x:c r="J116" s="3" t="n">
        <x:v>2.9</x:v>
      </x:c>
      <x:c r="K116" t="str">
        <x:v>Phone</x:v>
      </x:c>
      <x:c r="L116" t="str">
        <x:v>Tech 7</x:v>
      </x:c>
    </x:row>
    <x:row r="117">
      <x:c r="A117" t="str">
        <x:v>TS-8116</x:v>
      </x:c>
      <x:c r="B117" t="str">
        <x:v>Aug</x:v>
      </x:c>
      <x:c r="C117" t="str">
        <x:v>Resolved</x:v>
      </x:c>
      <x:c r="D117" t="str">
        <x:v>Mobile</x:v>
      </x:c>
      <x:c r="E117" t="str">
        <x:v>West</x:v>
      </x:c>
      <x:c r="F117" t="str">
        <x:v>Medium</x:v>
      </x:c>
      <x:c r="G117" t="str">
        <x:v>Service Outage</x:v>
      </x:c>
      <x:c r="H117" s="3" t="n">
        <x:v>3.7</x:v>
      </x:c>
      <x:c r="I117" s="3" t="n">
        <x:v>11.5</x:v>
      </x:c>
      <x:c r="J117" s="3" t="n">
        <x:v>4</x:v>
      </x:c>
      <x:c r="K117" t="str">
        <x:v>Web</x:v>
      </x:c>
      <x:c r="L117" t="str">
        <x:v>Tech 14</x:v>
      </x:c>
    </x:row>
    <x:row r="118">
      <x:c r="A118" t="str">
        <x:v>TS-8117</x:v>
      </x:c>
      <x:c r="B118" t="str">
        <x:v>Sep</x:v>
      </x:c>
      <x:c r="C118" t="str">
        <x:v>In Progress</x:v>
      </x:c>
      <x:c r="D118" t="str">
        <x:v>Broadband</x:v>
      </x:c>
      <x:c r="E118" t="str">
        <x:v>North</x:v>
      </x:c>
      <x:c r="F118" t="str">
        <x:v>High</x:v>
      </x:c>
      <x:c r="G118" t="str">
        <x:v>Dropped Calls</x:v>
      </x:c>
      <x:c r="H118" s="3" t="n">
        <x:v>7</x:v>
      </x:c>
      <x:c r="I118" s="3" t="n">
        <x:v>21.2</x:v>
      </x:c>
      <x:c r="J118" s="3" t="n">
        <x:v>2.6</x:v>
      </x:c>
      <x:c r="K118" t="str">
        <x:v>App</x:v>
      </x:c>
      <x:c r="L118" t="str">
        <x:v>Tech 3</x:v>
      </x:c>
    </x:row>
    <x:row r="119">
      <x:c r="A119" t="str">
        <x:v>TS-8118</x:v>
      </x:c>
      <x:c r="B119" t="str">
        <x:v>Oct</x:v>
      </x:c>
      <x:c r="C119" t="str">
        <x:v>Open</x:v>
      </x:c>
      <x:c r="D119" t="str">
        <x:v>Landline</x:v>
      </x:c>
      <x:c r="E119" t="str">
        <x:v>South</x:v>
      </x:c>
      <x:c r="F119" t="str">
        <x:v>Low</x:v>
      </x:c>
      <x:c r="G119" t="str">
        <x:v>Billing Error</x:v>
      </x:c>
      <x:c r="H119" s="3" t="n">
        <x:v>6.3</x:v>
      </x:c>
      <x:c r="I119" s="3" t="n">
        <x:v>14.9</x:v>
      </x:c>
      <x:c r="J119" s="3" t="n">
        <x:v>3.7</x:v>
      </x:c>
      <x:c r="K119" t="str">
        <x:v>Retail</x:v>
      </x:c>
      <x:c r="L119" t="str">
        <x:v>Tech 10</x:v>
      </x:c>
    </x:row>
    <x:row r="120">
      <x:c r="A120" t="str">
        <x:v>TS-8119</x:v>
      </x:c>
      <x:c r="B120" t="str">
        <x:v>Nov</x:v>
      </x:c>
      <x:c r="C120" t="str">
        <x:v>Resolved</x:v>
      </x:c>
      <x:c r="D120" t="str">
        <x:v>TV</x:v>
      </x:c>
      <x:c r="E120" t="str">
        <x:v>East</x:v>
      </x:c>
      <x:c r="F120" t="str">
        <x:v>Medium</x:v>
      </x:c>
      <x:c r="G120" t="str">
        <x:v>No Signal</x:v>
      </x:c>
      <x:c r="H120" s="3" t="n">
        <x:v>7.6000000000000005</x:v>
      </x:c>
      <x:c r="I120" s="3" t="n">
        <x:v>16.6</x:v>
      </x:c>
      <x:c r="J120" s="3" t="n">
        <x:v>4.8</x:v>
      </x:c>
      <x:c r="K120" t="str">
        <x:v>Phone</x:v>
      </x:c>
      <x:c r="L120" t="str">
        <x:v>Tech 17</x:v>
      </x:c>
    </x:row>
    <x:row r="121">
      <x:c r="A121" t="str">
        <x:v>TS-8120</x:v>
      </x:c>
      <x:c r="B121" t="str">
        <x:v>Dec</x:v>
      </x:c>
      <x:c r="C121" t="str">
        <x:v>In Progress</x:v>
      </x:c>
      <x:c r="D121" t="str">
        <x:v>Mobile</x:v>
      </x:c>
      <x:c r="E121" t="str">
        <x:v>West</x:v>
      </x:c>
      <x:c r="F121" t="str">
        <x:v>High</x:v>
      </x:c>
      <x:c r="G121" t="str">
        <x:v>Installation Delay</x:v>
      </x:c>
      <x:c r="H121" s="3" t="n">
        <x:v>10.9</x:v>
      </x:c>
      <x:c r="I121" s="3" t="n">
        <x:v>26.3</x:v>
      </x:c>
      <x:c r="J121" s="3" t="n">
        <x:v>3.4</x:v>
      </x:c>
      <x:c r="K121" t="str">
        <x:v>Web</x:v>
      </x:c>
      <x:c r="L121" t="str">
        <x:v>Tech 6</x:v>
      </x:c>
    </x:row>
    <x:row r="122">
      <x:c r="A122" t="str">
        <x:v>TS-8121</x:v>
      </x:c>
      <x:c r="B122" t="str">
        <x:v>Jan</x:v>
      </x:c>
      <x:c r="C122" t="str">
        <x:v>Open</x:v>
      </x:c>
      <x:c r="D122" t="str">
        <x:v>Broadband</x:v>
      </x:c>
      <x:c r="E122" t="str">
        <x:v>North</x:v>
      </x:c>
      <x:c r="F122" t="str">
        <x:v>Low</x:v>
      </x:c>
      <x:c r="G122" t="str">
        <x:v>Slow Internet</x:v>
      </x:c>
      <x:c r="H122" s="3" t="n">
        <x:v>10.2</x:v>
      </x:c>
      <x:c r="I122" s="3" t="n">
        <x:v>20</x:v>
      </x:c>
      <x:c r="J122" s="3" t="n">
        <x:v>4.5</x:v>
      </x:c>
      <x:c r="K122" t="str">
        <x:v>App</x:v>
      </x:c>
      <x:c r="L122" t="str">
        <x:v>Tech 13</x:v>
      </x:c>
    </x:row>
    <x:row r="123">
      <x:c r="A123" t="str">
        <x:v>TS-8122</x:v>
      </x:c>
      <x:c r="B123" t="str">
        <x:v>Feb</x:v>
      </x:c>
      <x:c r="C123" t="str">
        <x:v>Resolved</x:v>
      </x:c>
      <x:c r="D123" t="str">
        <x:v>Landline</x:v>
      </x:c>
      <x:c r="E123" t="str">
        <x:v>South</x:v>
      </x:c>
      <x:c r="F123" t="str">
        <x:v>Medium</x:v>
      </x:c>
      <x:c r="G123" t="str">
        <x:v>Service Outage</x:v>
      </x:c>
      <x:c r="H123" s="3" t="n">
        <x:v>11.5</x:v>
      </x:c>
      <x:c r="I123" s="3" t="n">
        <x:v>21.7</x:v>
      </x:c>
      <x:c r="J123" s="3" t="n">
        <x:v>3.1</x:v>
      </x:c>
      <x:c r="K123" t="str">
        <x:v>Retail</x:v>
      </x:c>
      <x:c r="L123" t="str">
        <x:v>Tech 2</x:v>
      </x:c>
    </x:row>
    <x:row r="124">
      <x:c r="A124" t="str">
        <x:v>TS-8123</x:v>
      </x:c>
      <x:c r="B124" t="str">
        <x:v>Mar</x:v>
      </x:c>
      <x:c r="C124" t="str">
        <x:v>In Progress</x:v>
      </x:c>
      <x:c r="D124" t="str">
        <x:v>TV</x:v>
      </x:c>
      <x:c r="E124" t="str">
        <x:v>East</x:v>
      </x:c>
      <x:c r="F124" t="str">
        <x:v>High</x:v>
      </x:c>
      <x:c r="G124" t="str">
        <x:v>Dropped Calls</x:v>
      </x:c>
      <x:c r="H124" s="3" t="n">
        <x:v>14.799999999999999</x:v>
      </x:c>
      <x:c r="I124" s="3" t="n">
        <x:v>31.4</x:v>
      </x:c>
      <x:c r="J124" s="3" t="n">
        <x:v>4.2</x:v>
      </x:c>
      <x:c r="K124" t="str">
        <x:v>Phone</x:v>
      </x:c>
      <x:c r="L124" t="str">
        <x:v>Tech 9</x:v>
      </x:c>
    </x:row>
    <x:row r="125">
      <x:c r="A125" t="str">
        <x:v>TS-8124</x:v>
      </x:c>
      <x:c r="B125" t="str">
        <x:v>Apr</x:v>
      </x:c>
      <x:c r="C125" t="str">
        <x:v>Open</x:v>
      </x:c>
      <x:c r="D125" t="str">
        <x:v>Mobile</x:v>
      </x:c>
      <x:c r="E125" t="str">
        <x:v>West</x:v>
      </x:c>
      <x:c r="F125" t="str">
        <x:v>Low</x:v>
      </x:c>
      <x:c r="G125" t="str">
        <x:v>Billing Error</x:v>
      </x:c>
      <x:c r="H125" s="3" t="n">
        <x:v>14.1</x:v>
      </x:c>
      <x:c r="I125" s="3" t="n">
        <x:v>25.1</x:v>
      </x:c>
      <x:c r="J125" s="3" t="n">
        <x:v>2.8</x:v>
      </x:c>
      <x:c r="K125" t="str">
        <x:v>Web</x:v>
      </x:c>
      <x:c r="L125" t="str">
        <x:v>Tech 16</x:v>
      </x:c>
    </x:row>
    <x:row r="126">
      <x:c r="A126" t="str">
        <x:v>TS-8125</x:v>
      </x:c>
      <x:c r="B126" t="str">
        <x:v>May</x:v>
      </x:c>
      <x:c r="C126" t="str">
        <x:v>Resolved</x:v>
      </x:c>
      <x:c r="D126" t="str">
        <x:v>Broadband</x:v>
      </x:c>
      <x:c r="E126" t="str">
        <x:v>North</x:v>
      </x:c>
      <x:c r="F126" t="str">
        <x:v>Medium</x:v>
      </x:c>
      <x:c r="G126" t="str">
        <x:v>No Signal</x:v>
      </x:c>
      <x:c r="H126" s="3" t="n">
        <x:v>15.399999999999999</x:v>
      </x:c>
      <x:c r="I126" s="3" t="n">
        <x:v>26.8</x:v>
      </x:c>
      <x:c r="J126" s="3" t="n">
        <x:v>3.9</x:v>
      </x:c>
      <x:c r="K126" t="str">
        <x:v>App</x:v>
      </x:c>
      <x:c r="L126" t="str">
        <x:v>Tech 5</x:v>
      </x:c>
    </x:row>
    <x:row r="127">
      <x:c r="A127" t="str">
        <x:v>TS-8126</x:v>
      </x:c>
      <x:c r="B127" t="str">
        <x:v>Jun</x:v>
      </x:c>
      <x:c r="C127" t="str">
        <x:v>In Progress</x:v>
      </x:c>
      <x:c r="D127" t="str">
        <x:v>Landline</x:v>
      </x:c>
      <x:c r="E127" t="str">
        <x:v>South</x:v>
      </x:c>
      <x:c r="F127" t="str">
        <x:v>High</x:v>
      </x:c>
      <x:c r="G127" t="str">
        <x:v>Installation Delay</x:v>
      </x:c>
      <x:c r="H127" s="3" t="n">
        <x:v>18.7</x:v>
      </x:c>
      <x:c r="I127" s="3" t="n">
        <x:v>36.5</x:v>
      </x:c>
      <x:c r="J127" s="3" t="n">
        <x:v>2.5</x:v>
      </x:c>
      <x:c r="K127" t="str">
        <x:v>Retail</x:v>
      </x:c>
      <x:c r="L127" t="str">
        <x:v>Tech 12</x:v>
      </x:c>
    </x:row>
    <x:row r="128">
      <x:c r="A128" t="str">
        <x:v>TS-8127</x:v>
      </x:c>
      <x:c r="B128" t="str">
        <x:v>Jul</x:v>
      </x:c>
      <x:c r="C128" t="str">
        <x:v>Open</x:v>
      </x:c>
      <x:c r="D128" t="str">
        <x:v>TV</x:v>
      </x:c>
      <x:c r="E128" t="str">
        <x:v>East</x:v>
      </x:c>
      <x:c r="F128" t="str">
        <x:v>Low</x:v>
      </x:c>
      <x:c r="G128" t="str">
        <x:v>Slow Internet</x:v>
      </x:c>
      <x:c r="H128" s="3" t="n">
        <x:v>18</x:v>
      </x:c>
      <x:c r="I128" s="3" t="n">
        <x:v>30.2</x:v>
      </x:c>
      <x:c r="J128" s="3" t="n">
        <x:v>3.6</x:v>
      </x:c>
      <x:c r="K128" t="str">
        <x:v>Phone</x:v>
      </x:c>
      <x:c r="L128" t="str">
        <x:v>Tech 1</x:v>
      </x:c>
    </x:row>
    <x:row r="129">
      <x:c r="A129" t="str">
        <x:v>TS-8128</x:v>
      </x:c>
      <x:c r="B129" t="str">
        <x:v>Aug</x:v>
      </x:c>
      <x:c r="C129" t="str">
        <x:v>Resolved</x:v>
      </x:c>
      <x:c r="D129" t="str">
        <x:v>Mobile</x:v>
      </x:c>
      <x:c r="E129" t="str">
        <x:v>West</x:v>
      </x:c>
      <x:c r="F129" t="str">
        <x:v>Medium</x:v>
      </x:c>
      <x:c r="G129" t="str">
        <x:v>Service Outage</x:v>
      </x:c>
      <x:c r="H129" s="3" t="n">
        <x:v>19.3</x:v>
      </x:c>
      <x:c r="I129" s="3" t="n">
        <x:v>31.9</x:v>
      </x:c>
      <x:c r="J129" s="3" t="n">
        <x:v>4.7</x:v>
      </x:c>
      <x:c r="K129" t="str">
        <x:v>Web</x:v>
      </x:c>
      <x:c r="L129" t="str">
        <x:v>Tech 8</x:v>
      </x:c>
    </x:row>
    <x:row r="130">
      <x:c r="A130" t="str">
        <x:v>TS-8129</x:v>
      </x:c>
      <x:c r="B130" t="str">
        <x:v>Sep</x:v>
      </x:c>
      <x:c r="C130" t="str">
        <x:v>In Progress</x:v>
      </x:c>
      <x:c r="D130" t="str">
        <x:v>Broadband</x:v>
      </x:c>
      <x:c r="E130" t="str">
        <x:v>North</x:v>
      </x:c>
      <x:c r="F130" t="str">
        <x:v>High</x:v>
      </x:c>
      <x:c r="G130" t="str">
        <x:v>Dropped Calls</x:v>
      </x:c>
      <x:c r="H130" s="3" t="n">
        <x:v>22.599999999999998</x:v>
      </x:c>
      <x:c r="I130" s="3" t="n">
        <x:v>41.6</x:v>
      </x:c>
      <x:c r="J130" s="3" t="n">
        <x:v>3.3</x:v>
      </x:c>
      <x:c r="K130" t="str">
        <x:v>App</x:v>
      </x:c>
      <x:c r="L130" t="str">
        <x:v>Tech 15</x:v>
      </x:c>
    </x:row>
    <x:row r="131">
      <x:c r="A131" t="str">
        <x:v>TS-8130</x:v>
      </x:c>
      <x:c r="B131" t="str">
        <x:v>Oct</x:v>
      </x:c>
      <x:c r="C131" t="str">
        <x:v>Open</x:v>
      </x:c>
      <x:c r="D131" t="str">
        <x:v>Landline</x:v>
      </x:c>
      <x:c r="E131" t="str">
        <x:v>South</x:v>
      </x:c>
      <x:c r="F131" t="str">
        <x:v>Low</x:v>
      </x:c>
      <x:c r="G131" t="str">
        <x:v>Billing Error</x:v>
      </x:c>
      <x:c r="H131" s="3" t="n">
        <x:v>21.9</x:v>
      </x:c>
      <x:c r="I131" s="3" t="n">
        <x:v>35.3</x:v>
      </x:c>
      <x:c r="J131" s="3" t="n">
        <x:v>4.4</x:v>
      </x:c>
      <x:c r="K131" t="str">
        <x:v>Retail</x:v>
      </x:c>
      <x:c r="L131" t="str">
        <x:v>Tech 4</x:v>
      </x:c>
    </x:row>
    <x:row r="132">
      <x:c r="A132" t="str">
        <x:v>TS-8131</x:v>
      </x:c>
      <x:c r="B132" t="str">
        <x:v>Nov</x:v>
      </x:c>
      <x:c r="C132" t="str">
        <x:v>Resolved</x:v>
      </x:c>
      <x:c r="D132" t="str">
        <x:v>TV</x:v>
      </x:c>
      <x:c r="E132" t="str">
        <x:v>East</x:v>
      </x:c>
      <x:c r="F132" t="str">
        <x:v>Medium</x:v>
      </x:c>
      <x:c r="G132" t="str">
        <x:v>No Signal</x:v>
      </x:c>
      <x:c r="H132" s="3" t="n">
        <x:v>2.2</x:v>
      </x:c>
      <x:c r="I132" s="3" t="n">
        <x:v>37</x:v>
      </x:c>
      <x:c r="J132" s="3" t="n">
        <x:v>3</x:v>
      </x:c>
      <x:c r="K132" t="str">
        <x:v>Phone</x:v>
      </x:c>
      <x:c r="L132" t="str">
        <x:v>Tech 11</x:v>
      </x:c>
    </x:row>
    <x:row r="133">
      <x:c r="A133" t="str">
        <x:v>TS-8132</x:v>
      </x:c>
      <x:c r="B133" t="str">
        <x:v>Dec</x:v>
      </x:c>
      <x:c r="C133" t="str">
        <x:v>In Progress</x:v>
      </x:c>
      <x:c r="D133" t="str">
        <x:v>Mobile</x:v>
      </x:c>
      <x:c r="E133" t="str">
        <x:v>West</x:v>
      </x:c>
      <x:c r="F133" t="str">
        <x:v>High</x:v>
      </x:c>
      <x:c r="G133" t="str">
        <x:v>Installation Delay</x:v>
      </x:c>
      <x:c r="H133" s="3" t="n">
        <x:v>5.5</x:v>
      </x:c>
      <x:c r="I133" s="3" t="n">
        <x:v>46.7</x:v>
      </x:c>
      <x:c r="J133" s="3" t="n">
        <x:v>4.1</x:v>
      </x:c>
      <x:c r="K133" t="str">
        <x:v>Web</x:v>
      </x:c>
      <x:c r="L133" t="str">
        <x:v>Tech 18</x:v>
      </x:c>
    </x:row>
    <x:row r="134">
      <x:c r="A134" t="str">
        <x:v>TS-8133</x:v>
      </x:c>
      <x:c r="B134" t="str">
        <x:v>Jan</x:v>
      </x:c>
      <x:c r="C134" t="str">
        <x:v>Open</x:v>
      </x:c>
      <x:c r="D134" t="str">
        <x:v>Broadband</x:v>
      </x:c>
      <x:c r="E134" t="str">
        <x:v>North</x:v>
      </x:c>
      <x:c r="F134" t="str">
        <x:v>Low</x:v>
      </x:c>
      <x:c r="G134" t="str">
        <x:v>Slow Internet</x:v>
      </x:c>
      <x:c r="H134" s="3" t="n">
        <x:v>4.8</x:v>
      </x:c>
      <x:c r="I134" s="3" t="n">
        <x:v>40.4</x:v>
      </x:c>
      <x:c r="J134" s="3" t="n">
        <x:v>2.7</x:v>
      </x:c>
      <x:c r="K134" t="str">
        <x:v>App</x:v>
      </x:c>
      <x:c r="L134" t="str">
        <x:v>Tech 7</x:v>
      </x:c>
    </x:row>
    <x:row r="135">
      <x:c r="A135" t="str">
        <x:v>TS-8134</x:v>
      </x:c>
      <x:c r="B135" t="str">
        <x:v>Feb</x:v>
      </x:c>
      <x:c r="C135" t="str">
        <x:v>Open</x:v>
      </x:c>
      <x:c r="D135" t="str">
        <x:v>Landline</x:v>
      </x:c>
      <x:c r="E135" t="str">
        <x:v>South</x:v>
      </x:c>
      <x:c r="F135" t="str">
        <x:v>Medium</x:v>
      </x:c>
      <x:c r="G135" t="str">
        <x:v>Service Outage</x:v>
      </x:c>
      <x:c r="H135" s="3" t="n">
        <x:v>6.1000000000000005</x:v>
      </x:c>
      <x:c r="I135" s="3" t="n">
        <x:v>42.1</x:v>
      </x:c>
      <x:c r="J135" s="3" t="n">
        <x:v>3.8</x:v>
      </x:c>
      <x:c r="K135" t="str">
        <x:v>Retail</x:v>
      </x:c>
      <x:c r="L135" t="str">
        <x:v>Tech 14</x:v>
      </x:c>
    </x:row>
    <x:row r="136">
      <x:c r="A136" t="str">
        <x:v>TS-8135</x:v>
      </x:c>
      <x:c r="B136" t="str">
        <x:v>Mar</x:v>
      </x:c>
      <x:c r="C136" t="str">
        <x:v>Resolved</x:v>
      </x:c>
      <x:c r="D136" t="str">
        <x:v>TV</x:v>
      </x:c>
      <x:c r="E136" t="str">
        <x:v>East</x:v>
      </x:c>
      <x:c r="F136" t="str">
        <x:v>High</x:v>
      </x:c>
      <x:c r="G136" t="str">
        <x:v>Dropped Calls</x:v>
      </x:c>
      <x:c r="H136" s="3" t="n">
        <x:v>9.4</x:v>
      </x:c>
      <x:c r="I136" s="3" t="n">
        <x:v>51.8</x:v>
      </x:c>
      <x:c r="J136" s="3" t="n">
        <x:v>4.9</x:v>
      </x:c>
      <x:c r="K136" t="str">
        <x:v>Phone</x:v>
      </x:c>
      <x:c r="L136" t="str">
        <x:v>Tech 3</x:v>
      </x:c>
    </x:row>
    <x:row r="137">
      <x:c r="A137" t="str">
        <x:v>TS-8136</x:v>
      </x:c>
      <x:c r="B137" t="str">
        <x:v>Apr</x:v>
      </x:c>
      <x:c r="C137" t="str">
        <x:v>In Progress</x:v>
      </x:c>
      <x:c r="D137" t="str">
        <x:v>Mobile</x:v>
      </x:c>
      <x:c r="E137" t="str">
        <x:v>West</x:v>
      </x:c>
      <x:c r="F137" t="str">
        <x:v>Low</x:v>
      </x:c>
      <x:c r="G137" t="str">
        <x:v>Billing Error</x:v>
      </x:c>
      <x:c r="H137" s="3" t="n">
        <x:v>8.7</x:v>
      </x:c>
      <x:c r="I137" s="3" t="n">
        <x:v>45.5</x:v>
      </x:c>
      <x:c r="J137" s="3" t="n">
        <x:v>3.5</x:v>
      </x:c>
      <x:c r="K137" t="str">
        <x:v>Web</x:v>
      </x:c>
      <x:c r="L137" t="str">
        <x:v>Tech 10</x:v>
      </x:c>
    </x:row>
    <x:row r="138">
      <x:c r="A138" t="str">
        <x:v>TS-8137</x:v>
      </x:c>
      <x:c r="B138" t="str">
        <x:v>May</x:v>
      </x:c>
      <x:c r="C138" t="str">
        <x:v>Open</x:v>
      </x:c>
      <x:c r="D138" t="str">
        <x:v>Broadband</x:v>
      </x:c>
      <x:c r="E138" t="str">
        <x:v>North</x:v>
      </x:c>
      <x:c r="F138" t="str">
        <x:v>Medium</x:v>
      </x:c>
      <x:c r="G138" t="str">
        <x:v>No Signal</x:v>
      </x:c>
      <x:c r="H138" s="3" t="n">
        <x:v>10</x:v>
      </x:c>
      <x:c r="I138" s="3" t="n">
        <x:v>47.2</x:v>
      </x:c>
      <x:c r="J138" s="3" t="n">
        <x:v>4.6</x:v>
      </x:c>
      <x:c r="K138" t="str">
        <x:v>App</x:v>
      </x:c>
      <x:c r="L138" t="str">
        <x:v>Tech 17</x:v>
      </x:c>
    </x:row>
    <x:row r="139">
      <x:c r="A139" t="str">
        <x:v>TS-8138</x:v>
      </x:c>
      <x:c r="B139" t="str">
        <x:v>Jun</x:v>
      </x:c>
      <x:c r="C139" t="str">
        <x:v>Resolved</x:v>
      </x:c>
      <x:c r="D139" t="str">
        <x:v>Landline</x:v>
      </x:c>
      <x:c r="E139" t="str">
        <x:v>South</x:v>
      </x:c>
      <x:c r="F139" t="str">
        <x:v>High</x:v>
      </x:c>
      <x:c r="G139" t="str">
        <x:v>Installation Delay</x:v>
      </x:c>
      <x:c r="H139" s="3" t="n">
        <x:v>13.299999999999999</x:v>
      </x:c>
      <x:c r="I139" s="3" t="n">
        <x:v>56.9</x:v>
      </x:c>
      <x:c r="J139" s="3" t="n">
        <x:v>3.2</x:v>
      </x:c>
      <x:c r="K139" t="str">
        <x:v>Retail</x:v>
      </x:c>
      <x:c r="L139" t="str">
        <x:v>Tech 6</x:v>
      </x:c>
    </x:row>
    <x:row r="140">
      <x:c r="A140" t="str">
        <x:v>TS-8139</x:v>
      </x:c>
      <x:c r="B140" t="str">
        <x:v>Jul</x:v>
      </x:c>
      <x:c r="C140" t="str">
        <x:v>In Progress</x:v>
      </x:c>
      <x:c r="D140" t="str">
        <x:v>TV</x:v>
      </x:c>
      <x:c r="E140" t="str">
        <x:v>East</x:v>
      </x:c>
      <x:c r="F140" t="str">
        <x:v>Low</x:v>
      </x:c>
      <x:c r="G140" t="str">
        <x:v>Slow Internet</x:v>
      </x:c>
      <x:c r="H140" s="3" t="n">
        <x:v>12.6</x:v>
      </x:c>
      <x:c r="I140" s="3" t="n">
        <x:v>50.6</x:v>
      </x:c>
      <x:c r="J140" s="3" t="n">
        <x:v>4.3</x:v>
      </x:c>
      <x:c r="K140" t="str">
        <x:v>Phone</x:v>
      </x:c>
      <x:c r="L140" t="str">
        <x:v>Tech 13</x:v>
      </x:c>
    </x:row>
    <x:row r="141">
      <x:c r="A141" t="str">
        <x:v>TS-8140</x:v>
      </x:c>
      <x:c r="B141" t="str">
        <x:v>Aug</x:v>
      </x:c>
      <x:c r="C141" t="str">
        <x:v>Open</x:v>
      </x:c>
      <x:c r="D141" t="str">
        <x:v>Mobile</x:v>
      </x:c>
      <x:c r="E141" t="str">
        <x:v>West</x:v>
      </x:c>
      <x:c r="F141" t="str">
        <x:v>Medium</x:v>
      </x:c>
      <x:c r="G141" t="str">
        <x:v>Service Outage</x:v>
      </x:c>
      <x:c r="H141" s="3" t="n">
        <x:v>13.899999999999999</x:v>
      </x:c>
      <x:c r="I141" s="3" t="n">
        <x:v>52.3</x:v>
      </x:c>
      <x:c r="J141" s="3" t="n">
        <x:v>2.9</x:v>
      </x:c>
      <x:c r="K141" t="str">
        <x:v>Web</x:v>
      </x:c>
      <x:c r="L141" t="str">
        <x:v>Tech 2</x:v>
      </x:c>
    </x:row>
    <x:row r="142">
      <x:c r="A142" t="str">
        <x:v>TS-8141</x:v>
      </x:c>
      <x:c r="B142" t="str">
        <x:v>Sep</x:v>
      </x:c>
      <x:c r="C142" t="str">
        <x:v>Resolved</x:v>
      </x:c>
      <x:c r="D142" t="str">
        <x:v>Broadband</x:v>
      </x:c>
      <x:c r="E142" t="str">
        <x:v>North</x:v>
      </x:c>
      <x:c r="F142" t="str">
        <x:v>High</x:v>
      </x:c>
      <x:c r="G142" t="str">
        <x:v>Dropped Calls</x:v>
      </x:c>
      <x:c r="H142" s="3" t="n">
        <x:v>17.2</x:v>
      </x:c>
      <x:c r="I142" s="3" t="n">
        <x:v>62</x:v>
      </x:c>
      <x:c r="J142" s="3" t="n">
        <x:v>4</x:v>
      </x:c>
      <x:c r="K142" t="str">
        <x:v>App</x:v>
      </x:c>
      <x:c r="L142" t="str">
        <x:v>Tech 9</x:v>
      </x:c>
    </x:row>
    <x:row r="143">
      <x:c r="A143" t="str">
        <x:v>TS-8142</x:v>
      </x:c>
      <x:c r="B143" t="str">
        <x:v>Oct</x:v>
      </x:c>
      <x:c r="C143" t="str">
        <x:v>In Progress</x:v>
      </x:c>
      <x:c r="D143" t="str">
        <x:v>Landline</x:v>
      </x:c>
      <x:c r="E143" t="str">
        <x:v>South</x:v>
      </x:c>
      <x:c r="F143" t="str">
        <x:v>Low</x:v>
      </x:c>
      <x:c r="G143" t="str">
        <x:v>Billing Error</x:v>
      </x:c>
      <x:c r="H143" s="3" t="n">
        <x:v>16.5</x:v>
      </x:c>
      <x:c r="I143" s="3" t="n">
        <x:v>55.7</x:v>
      </x:c>
      <x:c r="J143" s="3" t="n">
        <x:v>2.6</x:v>
      </x:c>
      <x:c r="K143" t="str">
        <x:v>Retail</x:v>
      </x:c>
      <x:c r="L143" t="str">
        <x:v>Tech 16</x:v>
      </x:c>
    </x:row>
    <x:row r="144">
      <x:c r="A144" t="str">
        <x:v>TS-8143</x:v>
      </x:c>
      <x:c r="B144" t="str">
        <x:v>Nov</x:v>
      </x:c>
      <x:c r="C144" t="str">
        <x:v>Open</x:v>
      </x:c>
      <x:c r="D144" t="str">
        <x:v>TV</x:v>
      </x:c>
      <x:c r="E144" t="str">
        <x:v>East</x:v>
      </x:c>
      <x:c r="F144" t="str">
        <x:v>Medium</x:v>
      </x:c>
      <x:c r="G144" t="str">
        <x:v>No Signal</x:v>
      </x:c>
      <x:c r="H144" s="3" t="n">
        <x:v>17.8</x:v>
      </x:c>
      <x:c r="I144" s="3" t="n">
        <x:v>57.4</x:v>
      </x:c>
      <x:c r="J144" s="3" t="n">
        <x:v>3.7</x:v>
      </x:c>
      <x:c r="K144" t="str">
        <x:v>Phone</x:v>
      </x:c>
      <x:c r="L144" t="str">
        <x:v>Tech 5</x:v>
      </x:c>
    </x:row>
    <x:row r="145">
      <x:c r="A145" t="str">
        <x:v>TS-8144</x:v>
      </x:c>
      <x:c r="B145" t="str">
        <x:v>Dec</x:v>
      </x:c>
      <x:c r="C145" t="str">
        <x:v>Resolved</x:v>
      </x:c>
      <x:c r="D145" t="str">
        <x:v>Mobile</x:v>
      </x:c>
      <x:c r="E145" t="str">
        <x:v>West</x:v>
      </x:c>
      <x:c r="F145" t="str">
        <x:v>High</x:v>
      </x:c>
      <x:c r="G145" t="str">
        <x:v>Installation Delay</x:v>
      </x:c>
      <x:c r="H145" s="3" t="n">
        <x:v>21.099999999999998</x:v>
      </x:c>
      <x:c r="I145" s="3" t="n">
        <x:v>67.1</x:v>
      </x:c>
      <x:c r="J145" s="3" t="n">
        <x:v>4.8</x:v>
      </x:c>
      <x:c r="K145" t="str">
        <x:v>Web</x:v>
      </x:c>
      <x:c r="L145" t="str">
        <x:v>Tech 12</x:v>
      </x:c>
    </x:row>
    <x:row r="146">
      <x:c r="A146" t="str">
        <x:v>TS-8145</x:v>
      </x:c>
      <x:c r="B146" t="str">
        <x:v>Jan</x:v>
      </x:c>
      <x:c r="C146" t="str">
        <x:v>In Progress</x:v>
      </x:c>
      <x:c r="D146" t="str">
        <x:v>Broadband</x:v>
      </x:c>
      <x:c r="E146" t="str">
        <x:v>North</x:v>
      </x:c>
      <x:c r="F146" t="str">
        <x:v>Low</x:v>
      </x:c>
      <x:c r="G146" t="str">
        <x:v>Slow Internet</x:v>
      </x:c>
      <x:c r="H146" s="3" t="n">
        <x:v>20.4</x:v>
      </x:c>
      <x:c r="I146" s="3" t="n">
        <x:v>60.8</x:v>
      </x:c>
      <x:c r="J146" s="3" t="n">
        <x:v>3.4</x:v>
      </x:c>
      <x:c r="K146" t="str">
        <x:v>App</x:v>
      </x:c>
      <x:c r="L146" t="str">
        <x:v>Tech 1</x:v>
      </x:c>
    </x:row>
    <x:row r="147">
      <x:c r="A147" t="str">
        <x:v>TS-8146</x:v>
      </x:c>
      <x:c r="B147" t="str">
        <x:v>Feb</x:v>
      </x:c>
      <x:c r="C147" t="str">
        <x:v>Open</x:v>
      </x:c>
      <x:c r="D147" t="str">
        <x:v>Landline</x:v>
      </x:c>
      <x:c r="E147" t="str">
        <x:v>South</x:v>
      </x:c>
      <x:c r="F147" t="str">
        <x:v>Medium</x:v>
      </x:c>
      <x:c r="G147" t="str">
        <x:v>Service Outage</x:v>
      </x:c>
      <x:c r="H147" s="3" t="n">
        <x:v>21.7</x:v>
      </x:c>
      <x:c r="I147" s="3" t="n">
        <x:v>62.5</x:v>
      </x:c>
      <x:c r="J147" s="3" t="n">
        <x:v>4.5</x:v>
      </x:c>
      <x:c r="K147" t="str">
        <x:v>Retail</x:v>
      </x:c>
      <x:c r="L147" t="str">
        <x:v>Tech 8</x:v>
      </x:c>
    </x:row>
    <x:row r="148">
      <x:c r="A148" t="str">
        <x:v>TS-8147</x:v>
      </x:c>
      <x:c r="B148" t="str">
        <x:v>Mar</x:v>
      </x:c>
      <x:c r="C148" t="str">
        <x:v>Resolved</x:v>
      </x:c>
      <x:c r="D148" t="str">
        <x:v>TV</x:v>
      </x:c>
      <x:c r="E148" t="str">
        <x:v>East</x:v>
      </x:c>
      <x:c r="F148" t="str">
        <x:v>High</x:v>
      </x:c>
      <x:c r="G148" t="str">
        <x:v>Dropped Calls</x:v>
      </x:c>
      <x:c r="H148" s="3" t="n">
        <x:v>4</x:v>
      </x:c>
      <x:c r="I148" s="3" t="n">
        <x:v>72.2</x:v>
      </x:c>
      <x:c r="J148" s="3" t="n">
        <x:v>3.1</x:v>
      </x:c>
      <x:c r="K148" t="str">
        <x:v>Phone</x:v>
      </x:c>
      <x:c r="L148" t="str">
        <x:v>Tech 15</x:v>
      </x:c>
    </x:row>
    <x:row r="149">
      <x:c r="A149" t="str">
        <x:v>TS-8148</x:v>
      </x:c>
      <x:c r="B149" t="str">
        <x:v>Apr</x:v>
      </x:c>
      <x:c r="C149" t="str">
        <x:v>In Progress</x:v>
      </x:c>
      <x:c r="D149" t="str">
        <x:v>Mobile</x:v>
      </x:c>
      <x:c r="E149" t="str">
        <x:v>West</x:v>
      </x:c>
      <x:c r="F149" t="str">
        <x:v>Low</x:v>
      </x:c>
      <x:c r="G149" t="str">
        <x:v>Billing Error</x:v>
      </x:c>
      <x:c r="H149" s="3" t="n">
        <x:v>3.3</x:v>
      </x:c>
      <x:c r="I149" s="3" t="n">
        <x:v>65.9</x:v>
      </x:c>
      <x:c r="J149" s="3" t="n">
        <x:v>4.2</x:v>
      </x:c>
      <x:c r="K149" t="str">
        <x:v>Web</x:v>
      </x:c>
      <x:c r="L149" t="str">
        <x:v>Tech 4</x:v>
      </x:c>
    </x:row>
    <x:row r="150">
      <x:c r="A150" t="str">
        <x:v>TS-8149</x:v>
      </x:c>
      <x:c r="B150" t="str">
        <x:v>May</x:v>
      </x:c>
      <x:c r="C150" t="str">
        <x:v>Open</x:v>
      </x:c>
      <x:c r="D150" t="str">
        <x:v>Broadband</x:v>
      </x:c>
      <x:c r="E150" t="str">
        <x:v>North</x:v>
      </x:c>
      <x:c r="F150" t="str">
        <x:v>Medium</x:v>
      </x:c>
      <x:c r="G150" t="str">
        <x:v>No Signal</x:v>
      </x:c>
      <x:c r="H150" s="3" t="n">
        <x:v>4.6</x:v>
      </x:c>
      <x:c r="I150" s="3" t="n">
        <x:v>67.6</x:v>
      </x:c>
      <x:c r="J150" s="3" t="n">
        <x:v>2.8</x:v>
      </x:c>
      <x:c r="K150" t="str">
        <x:v>App</x:v>
      </x:c>
      <x:c r="L150" t="str">
        <x:v>Tech 11</x:v>
      </x:c>
    </x:row>
    <x:row r="151">
      <x:c r="A151" t="str">
        <x:v>TS-8150</x:v>
      </x:c>
      <x:c r="B151" t="str">
        <x:v>Jun</x:v>
      </x:c>
      <x:c r="C151" t="str">
        <x:v>Resolved</x:v>
      </x:c>
      <x:c r="D151" t="str">
        <x:v>Landline</x:v>
      </x:c>
      <x:c r="E151" t="str">
        <x:v>South</x:v>
      </x:c>
      <x:c r="F151" t="str">
        <x:v>High</x:v>
      </x:c>
      <x:c r="G151" t="str">
        <x:v>Installation Delay</x:v>
      </x:c>
      <x:c r="H151" s="3" t="n">
        <x:v>7.9</x:v>
      </x:c>
      <x:c r="I151" s="3" t="n">
        <x:v>77.3</x:v>
      </x:c>
      <x:c r="J151" s="3" t="n">
        <x:v>3.9</x:v>
      </x:c>
      <x:c r="K151" t="str">
        <x:v>Retail</x:v>
      </x:c>
      <x:c r="L151" t="str">
        <x:v>Tech 18</x:v>
      </x:c>
    </x:row>
    <x:row r="152">
      <x:c r="A152" t="str">
        <x:v>TS-8151</x:v>
      </x:c>
      <x:c r="B152" t="str">
        <x:v>Jul</x:v>
      </x:c>
      <x:c r="C152" t="str">
        <x:v>In Progress</x:v>
      </x:c>
      <x:c r="D152" t="str">
        <x:v>TV</x:v>
      </x:c>
      <x:c r="E152" t="str">
        <x:v>East</x:v>
      </x:c>
      <x:c r="F152" t="str">
        <x:v>Low</x:v>
      </x:c>
      <x:c r="G152" t="str">
        <x:v>Slow Internet</x:v>
      </x:c>
      <x:c r="H152" s="3" t="n">
        <x:v>7.2</x:v>
      </x:c>
      <x:c r="I152" s="3" t="n">
        <x:v>71</x:v>
      </x:c>
      <x:c r="J152" s="3" t="n">
        <x:v>2.5</x:v>
      </x:c>
      <x:c r="K152" t="str">
        <x:v>Phone</x:v>
      </x:c>
      <x:c r="L152" t="str">
        <x:v>Tech 7</x:v>
      </x:c>
    </x:row>
    <x:row r="153">
      <x:c r="A153" t="str">
        <x:v>TS-8152</x:v>
      </x:c>
      <x:c r="B153" t="str">
        <x:v>Aug</x:v>
      </x:c>
      <x:c r="C153" t="str">
        <x:v>Open</x:v>
      </x:c>
      <x:c r="D153" t="str">
        <x:v>Mobile</x:v>
      </x:c>
      <x:c r="E153" t="str">
        <x:v>West</x:v>
      </x:c>
      <x:c r="F153" t="str">
        <x:v>Medium</x:v>
      </x:c>
      <x:c r="G153" t="str">
        <x:v>Service Outage</x:v>
      </x:c>
      <x:c r="H153" s="3" t="n">
        <x:v>8.5</x:v>
      </x:c>
      <x:c r="I153" s="3" t="n">
        <x:v>72.7</x:v>
      </x:c>
      <x:c r="J153" s="3" t="n">
        <x:v>3.6</x:v>
      </x:c>
      <x:c r="K153" t="str">
        <x:v>Web</x:v>
      </x:c>
      <x:c r="L153" t="str">
        <x:v>Tech 14</x:v>
      </x:c>
    </x:row>
    <x:row r="154">
      <x:c r="A154" t="str">
        <x:v>TS-8153</x:v>
      </x:c>
      <x:c r="B154" t="str">
        <x:v>Sep</x:v>
      </x:c>
      <x:c r="C154" t="str">
        <x:v>Open</x:v>
      </x:c>
      <x:c r="D154" t="str">
        <x:v>Broadband</x:v>
      </x:c>
      <x:c r="E154" t="str">
        <x:v>North</x:v>
      </x:c>
      <x:c r="F154" t="str">
        <x:v>High</x:v>
      </x:c>
      <x:c r="G154" t="str">
        <x:v>Dropped Calls</x:v>
      </x:c>
      <x:c r="H154" s="3" t="n">
        <x:v>11.799999999999999</x:v>
      </x:c>
      <x:c r="I154" s="3" t="n">
        <x:v>82.4</x:v>
      </x:c>
      <x:c r="J154" s="3" t="n">
        <x:v>4.7</x:v>
      </x:c>
      <x:c r="K154" t="str">
        <x:v>App</x:v>
      </x:c>
      <x:c r="L154" t="str">
        <x:v>Tech 3</x:v>
      </x:c>
    </x:row>
    <x:row r="155">
      <x:c r="A155" t="str">
        <x:v>TS-8154</x:v>
      </x:c>
      <x:c r="B155" t="str">
        <x:v>Oct</x:v>
      </x:c>
      <x:c r="C155" t="str">
        <x:v>Resolved</x:v>
      </x:c>
      <x:c r="D155" t="str">
        <x:v>Landline</x:v>
      </x:c>
      <x:c r="E155" t="str">
        <x:v>South</x:v>
      </x:c>
      <x:c r="F155" t="str">
        <x:v>Low</x:v>
      </x:c>
      <x:c r="G155" t="str">
        <x:v>Billing Error</x:v>
      </x:c>
      <x:c r="H155" s="3" t="n">
        <x:v>11.1</x:v>
      </x:c>
      <x:c r="I155" s="3" t="n">
        <x:v>76.1</x:v>
      </x:c>
      <x:c r="J155" s="3" t="n">
        <x:v>3.3</x:v>
      </x:c>
      <x:c r="K155" t="str">
        <x:v>Retail</x:v>
      </x:c>
      <x:c r="L155" t="str">
        <x:v>Tech 10</x:v>
      </x:c>
    </x:row>
    <x:row r="156">
      <x:c r="A156" t="str">
        <x:v>TS-8155</x:v>
      </x:c>
      <x:c r="B156" t="str">
        <x:v>Nov</x:v>
      </x:c>
      <x:c r="C156" t="str">
        <x:v>In Progress</x:v>
      </x:c>
      <x:c r="D156" t="str">
        <x:v>TV</x:v>
      </x:c>
      <x:c r="E156" t="str">
        <x:v>East</x:v>
      </x:c>
      <x:c r="F156" t="str">
        <x:v>Medium</x:v>
      </x:c>
      <x:c r="G156" t="str">
        <x:v>No Signal</x:v>
      </x:c>
      <x:c r="H156" s="3" t="n">
        <x:v>12.399999999999999</x:v>
      </x:c>
      <x:c r="I156" s="3" t="n">
        <x:v>77.8</x:v>
      </x:c>
      <x:c r="J156" s="3" t="n">
        <x:v>4.4</x:v>
      </x:c>
      <x:c r="K156" t="str">
        <x:v>Phone</x:v>
      </x:c>
      <x:c r="L156" t="str">
        <x:v>Tech 17</x:v>
      </x:c>
    </x:row>
    <x:row r="157">
      <x:c r="A157" t="str">
        <x:v>TS-8156</x:v>
      </x:c>
      <x:c r="B157" t="str">
        <x:v>Dec</x:v>
      </x:c>
      <x:c r="C157" t="str">
        <x:v>Open</x:v>
      </x:c>
      <x:c r="D157" t="str">
        <x:v>Mobile</x:v>
      </x:c>
      <x:c r="E157" t="str">
        <x:v>West</x:v>
      </x:c>
      <x:c r="F157" t="str">
        <x:v>High</x:v>
      </x:c>
      <x:c r="G157" t="str">
        <x:v>Installation Delay</x:v>
      </x:c>
      <x:c r="H157" s="3" t="n">
        <x:v>15.7</x:v>
      </x:c>
      <x:c r="I157" s="3" t="n">
        <x:v>87.5</x:v>
      </x:c>
      <x:c r="J157" s="3" t="n">
        <x:v>3</x:v>
      </x:c>
      <x:c r="K157" t="str">
        <x:v>Web</x:v>
      </x:c>
      <x:c r="L157" t="str">
        <x:v>Tech 6</x:v>
      </x:c>
    </x:row>
    <x:row r="158">
      <x:c r="A158" t="str">
        <x:v>TS-8157</x:v>
      </x:c>
      <x:c r="B158" t="str">
        <x:v>Jan</x:v>
      </x:c>
      <x:c r="C158" t="str">
        <x:v>Resolved</x:v>
      </x:c>
      <x:c r="D158" t="str">
        <x:v>Broadband</x:v>
      </x:c>
      <x:c r="E158" t="str">
        <x:v>North</x:v>
      </x:c>
      <x:c r="F158" t="str">
        <x:v>Low</x:v>
      </x:c>
      <x:c r="G158" t="str">
        <x:v>Slow Internet</x:v>
      </x:c>
      <x:c r="H158" s="3" t="n">
        <x:v>15</x:v>
      </x:c>
      <x:c r="I158" s="3" t="n">
        <x:v>81.2</x:v>
      </x:c>
      <x:c r="J158" s="3" t="n">
        <x:v>4.1</x:v>
      </x:c>
      <x:c r="K158" t="str">
        <x:v>App</x:v>
      </x:c>
      <x:c r="L158" t="str">
        <x:v>Tech 13</x:v>
      </x:c>
    </x:row>
    <x:row r="159">
      <x:c r="A159" t="str">
        <x:v>TS-8158</x:v>
      </x:c>
      <x:c r="B159" t="str">
        <x:v>Feb</x:v>
      </x:c>
      <x:c r="C159" t="str">
        <x:v>In Progress</x:v>
      </x:c>
      <x:c r="D159" t="str">
        <x:v>Landline</x:v>
      </x:c>
      <x:c r="E159" t="str">
        <x:v>South</x:v>
      </x:c>
      <x:c r="F159" t="str">
        <x:v>Medium</x:v>
      </x:c>
      <x:c r="G159" t="str">
        <x:v>Service Outage</x:v>
      </x:c>
      <x:c r="H159" s="3" t="n">
        <x:v>16.3</x:v>
      </x:c>
      <x:c r="I159" s="3" t="n">
        <x:v>82.9</x:v>
      </x:c>
      <x:c r="J159" s="3" t="n">
        <x:v>2.7</x:v>
      </x:c>
      <x:c r="K159" t="str">
        <x:v>Retail</x:v>
      </x:c>
      <x:c r="L159" t="str">
        <x:v>Tech 2</x:v>
      </x:c>
    </x:row>
    <x:row r="160">
      <x:c r="A160" t="str">
        <x:v>TS-8159</x:v>
      </x:c>
      <x:c r="B160" t="str">
        <x:v>Mar</x:v>
      </x:c>
      <x:c r="C160" t="str">
        <x:v>Open</x:v>
      </x:c>
      <x:c r="D160" t="str">
        <x:v>TV</x:v>
      </x:c>
      <x:c r="E160" t="str">
        <x:v>East</x:v>
      </x:c>
      <x:c r="F160" t="str">
        <x:v>High</x:v>
      </x:c>
      <x:c r="G160" t="str">
        <x:v>Dropped Calls</x:v>
      </x:c>
      <x:c r="H160" s="3" t="n">
        <x:v>19.599999999999998</x:v>
      </x:c>
      <x:c r="I160" s="3" t="n">
        <x:v>92.6</x:v>
      </x:c>
      <x:c r="J160" s="3" t="n">
        <x:v>3.8</x:v>
      </x:c>
      <x:c r="K160" t="str">
        <x:v>Phone</x:v>
      </x:c>
      <x:c r="L160" t="str">
        <x:v>Tech 9</x:v>
      </x:c>
    </x:row>
    <x:row r="161">
      <x:c r="A161" t="str">
        <x:v>TS-8160</x:v>
      </x:c>
      <x:c r="B161" t="str">
        <x:v>Apr</x:v>
      </x:c>
      <x:c r="C161" t="str">
        <x:v>Resolved</x:v>
      </x:c>
      <x:c r="D161" t="str">
        <x:v>Mobile</x:v>
      </x:c>
      <x:c r="E161" t="str">
        <x:v>West</x:v>
      </x:c>
      <x:c r="F161" t="str">
        <x:v>Low</x:v>
      </x:c>
      <x:c r="G161" t="str">
        <x:v>Billing Error</x:v>
      </x:c>
      <x:c r="H161" s="3" t="n">
        <x:v>18.9</x:v>
      </x:c>
      <x:c r="I161" s="3" t="n">
        <x:v>86.3</x:v>
      </x:c>
      <x:c r="J161" s="3" t="n">
        <x:v>4.9</x:v>
      </x:c>
      <x:c r="K161" t="str">
        <x:v>Web</x:v>
      </x:c>
      <x:c r="L161" t="str">
        <x:v>Tech 16</x:v>
      </x:c>
    </x:row>
    <x:row r="162">
      <x:c r="A162" t="str">
        <x:v>TS-8161</x:v>
      </x:c>
      <x:c r="B162" t="str">
        <x:v>May</x:v>
      </x:c>
      <x:c r="C162" t="str">
        <x:v>In Progress</x:v>
      </x:c>
      <x:c r="D162" t="str">
        <x:v>Broadband</x:v>
      </x:c>
      <x:c r="E162" t="str">
        <x:v>North</x:v>
      </x:c>
      <x:c r="F162" t="str">
        <x:v>Medium</x:v>
      </x:c>
      <x:c r="G162" t="str">
        <x:v>No Signal</x:v>
      </x:c>
      <x:c r="H162" s="3" t="n">
        <x:v>20.2</x:v>
      </x:c>
      <x:c r="I162" s="3" t="n">
        <x:v>88</x:v>
      </x:c>
      <x:c r="J162" s="3" t="n">
        <x:v>3.5</x:v>
      </x:c>
      <x:c r="K162" t="str">
        <x:v>App</x:v>
      </x:c>
      <x:c r="L162" t="str">
        <x:v>Tech 5</x:v>
      </x:c>
    </x:row>
    <x:row r="163">
      <x:c r="A163" t="str">
        <x:v>TS-8162</x:v>
      </x:c>
      <x:c r="B163" t="str">
        <x:v>Jun</x:v>
      </x:c>
      <x:c r="C163" t="str">
        <x:v>Open</x:v>
      </x:c>
      <x:c r="D163" t="str">
        <x:v>Landline</x:v>
      </x:c>
      <x:c r="E163" t="str">
        <x:v>South</x:v>
      </x:c>
      <x:c r="F163" t="str">
        <x:v>High</x:v>
      </x:c>
      <x:c r="G163" t="str">
        <x:v>Installation Delay</x:v>
      </x:c>
      <x:c r="H163" s="3" t="n">
        <x:v>23.5</x:v>
      </x:c>
      <x:c r="I163" s="3" t="n">
        <x:v>97.7</x:v>
      </x:c>
      <x:c r="J163" s="3" t="n">
        <x:v>4.6</x:v>
      </x:c>
      <x:c r="K163" t="str">
        <x:v>Retail</x:v>
      </x:c>
      <x:c r="L163" t="str">
        <x:v>Tech 12</x:v>
      </x:c>
    </x:row>
    <x:row r="164">
      <x:c r="A164" t="str">
        <x:v>TS-8163</x:v>
      </x:c>
      <x:c r="B164" t="str">
        <x:v>Jul</x:v>
      </x:c>
      <x:c r="C164" t="str">
        <x:v>Resolved</x:v>
      </x:c>
      <x:c r="D164" t="str">
        <x:v>TV</x:v>
      </x:c>
      <x:c r="E164" t="str">
        <x:v>East</x:v>
      </x:c>
      <x:c r="F164" t="str">
        <x:v>Low</x:v>
      </x:c>
      <x:c r="G164" t="str">
        <x:v>Slow Internet</x:v>
      </x:c>
      <x:c r="H164" s="3" t="n">
        <x:v>1.7999999999999998</x:v>
      </x:c>
      <x:c r="I164" s="3" t="n">
        <x:v>91.4</x:v>
      </x:c>
      <x:c r="J164" s="3" t="n">
        <x:v>3.2</x:v>
      </x:c>
      <x:c r="K164" t="str">
        <x:v>Phone</x:v>
      </x:c>
      <x:c r="L164" t="str">
        <x:v>Tech 1</x:v>
      </x:c>
    </x:row>
    <x:row r="165">
      <x:c r="A165" t="str">
        <x:v>TS-8164</x:v>
      </x:c>
      <x:c r="B165" t="str">
        <x:v>Aug</x:v>
      </x:c>
      <x:c r="C165" t="str">
        <x:v>In Progress</x:v>
      </x:c>
      <x:c r="D165" t="str">
        <x:v>Mobile</x:v>
      </x:c>
      <x:c r="E165" t="str">
        <x:v>West</x:v>
      </x:c>
      <x:c r="F165" t="str">
        <x:v>Medium</x:v>
      </x:c>
      <x:c r="G165" t="str">
        <x:v>Service Outage</x:v>
      </x:c>
      <x:c r="H165" s="3" t="n">
        <x:v>3.0999999999999996</x:v>
      </x:c>
      <x:c r="I165" s="3" t="n">
        <x:v>93.1</x:v>
      </x:c>
      <x:c r="J165" s="3" t="n">
        <x:v>4.3</x:v>
      </x:c>
      <x:c r="K165" t="str">
        <x:v>Web</x:v>
      </x:c>
      <x:c r="L165" t="str">
        <x:v>Tech 8</x:v>
      </x:c>
    </x:row>
    <x:row r="166">
      <x:c r="A166" t="str">
        <x:v>TS-8165</x:v>
      </x:c>
      <x:c r="B166" t="str">
        <x:v>Sep</x:v>
      </x:c>
      <x:c r="C166" t="str">
        <x:v>Open</x:v>
      </x:c>
      <x:c r="D166" t="str">
        <x:v>Broadband</x:v>
      </x:c>
      <x:c r="E166" t="str">
        <x:v>North</x:v>
      </x:c>
      <x:c r="F166" t="str">
        <x:v>High</x:v>
      </x:c>
      <x:c r="G166" t="str">
        <x:v>Dropped Calls</x:v>
      </x:c>
      <x:c r="H166" s="3" t="n">
        <x:v>6.4</x:v>
      </x:c>
      <x:c r="I166" s="3" t="n">
        <x:v>102.8</x:v>
      </x:c>
      <x:c r="J166" s="3" t="n">
        <x:v>2.9</x:v>
      </x:c>
      <x:c r="K166" t="str">
        <x:v>App</x:v>
      </x:c>
      <x:c r="L166" t="str">
        <x:v>Tech 15</x:v>
      </x:c>
    </x:row>
    <x:row r="167">
      <x:c r="A167" t="str">
        <x:v>TS-8166</x:v>
      </x:c>
      <x:c r="B167" t="str">
        <x:v>Oct</x:v>
      </x:c>
      <x:c r="C167" t="str">
        <x:v>Resolved</x:v>
      </x:c>
      <x:c r="D167" t="str">
        <x:v>Landline</x:v>
      </x:c>
      <x:c r="E167" t="str">
        <x:v>South</x:v>
      </x:c>
      <x:c r="F167" t="str">
        <x:v>Low</x:v>
      </x:c>
      <x:c r="G167" t="str">
        <x:v>Billing Error</x:v>
      </x:c>
      <x:c r="H167" s="3" t="n">
        <x:v>5.7</x:v>
      </x:c>
      <x:c r="I167" s="3" t="n">
        <x:v>96.5</x:v>
      </x:c>
      <x:c r="J167" s="3" t="n">
        <x:v>4</x:v>
      </x:c>
      <x:c r="K167" t="str">
        <x:v>Retail</x:v>
      </x:c>
      <x:c r="L167" t="str">
        <x:v>Tech 4</x:v>
      </x:c>
    </x:row>
    <x:row r="168">
      <x:c r="A168" t="str">
        <x:v>TS-8167</x:v>
      </x:c>
      <x:c r="B168" t="str">
        <x:v>Nov</x:v>
      </x:c>
      <x:c r="C168" t="str">
        <x:v>In Progress</x:v>
      </x:c>
      <x:c r="D168" t="str">
        <x:v>TV</x:v>
      </x:c>
      <x:c r="E168" t="str">
        <x:v>East</x:v>
      </x:c>
      <x:c r="F168" t="str">
        <x:v>Medium</x:v>
      </x:c>
      <x:c r="G168" t="str">
        <x:v>No Signal</x:v>
      </x:c>
      <x:c r="H168" s="3" t="n">
        <x:v>7</x:v>
      </x:c>
      <x:c r="I168" s="3" t="n">
        <x:v>98.2</x:v>
      </x:c>
      <x:c r="J168" s="3" t="n">
        <x:v>2.6</x:v>
      </x:c>
      <x:c r="K168" t="str">
        <x:v>Phone</x:v>
      </x:c>
      <x:c r="L168" t="str">
        <x:v>Tech 11</x:v>
      </x:c>
    </x:row>
    <x:row r="169">
      <x:c r="A169" t="str">
        <x:v>TS-8168</x:v>
      </x:c>
      <x:c r="B169" t="str">
        <x:v>Dec</x:v>
      </x:c>
      <x:c r="C169" t="str">
        <x:v>Open</x:v>
      </x:c>
      <x:c r="D169" t="str">
        <x:v>Mobile</x:v>
      </x:c>
      <x:c r="E169" t="str">
        <x:v>West</x:v>
      </x:c>
      <x:c r="F169" t="str">
        <x:v>High</x:v>
      </x:c>
      <x:c r="G169" t="str">
        <x:v>Installation Delay</x:v>
      </x:c>
      <x:c r="H169" s="3" t="n">
        <x:v>10.299999999999999</x:v>
      </x:c>
      <x:c r="I169" s="3" t="n">
        <x:v>107.9</x:v>
      </x:c>
      <x:c r="J169" s="3" t="n">
        <x:v>3.7</x:v>
      </x:c>
      <x:c r="K169" t="str">
        <x:v>Web</x:v>
      </x:c>
      <x:c r="L169" t="str">
        <x:v>Tech 18</x:v>
      </x:c>
    </x:row>
    <x:row r="170">
      <x:c r="A170" t="str">
        <x:v>TS-8169</x:v>
      </x:c>
      <x:c r="B170" t="str">
        <x:v>Jan</x:v>
      </x:c>
      <x:c r="C170" t="str">
        <x:v>Resolved</x:v>
      </x:c>
      <x:c r="D170" t="str">
        <x:v>Broadband</x:v>
      </x:c>
      <x:c r="E170" t="str">
        <x:v>North</x:v>
      </x:c>
      <x:c r="F170" t="str">
        <x:v>Low</x:v>
      </x:c>
      <x:c r="G170" t="str">
        <x:v>Slow Internet</x:v>
      </x:c>
      <x:c r="H170" s="3" t="n">
        <x:v>9.6</x:v>
      </x:c>
      <x:c r="I170" s="3" t="n">
        <x:v>101.6</x:v>
      </x:c>
      <x:c r="J170" s="3" t="n">
        <x:v>4.8</x:v>
      </x:c>
      <x:c r="K170" t="str">
        <x:v>App</x:v>
      </x:c>
      <x:c r="L170" t="str">
        <x:v>Tech 7</x:v>
      </x:c>
    </x:row>
    <x:row r="171">
      <x:c r="A171" t="str">
        <x:v>TS-8170</x:v>
      </x:c>
      <x:c r="B171" t="str">
        <x:v>Feb</x:v>
      </x:c>
      <x:c r="C171" t="str">
        <x:v>In Progress</x:v>
      </x:c>
      <x:c r="D171" t="str">
        <x:v>Landline</x:v>
      </x:c>
      <x:c r="E171" t="str">
        <x:v>South</x:v>
      </x:c>
      <x:c r="F171" t="str">
        <x:v>Medium</x:v>
      </x:c>
      <x:c r="G171" t="str">
        <x:v>Service Outage</x:v>
      </x:c>
      <x:c r="H171" s="3" t="n">
        <x:v>10.899999999999999</x:v>
      </x:c>
      <x:c r="I171" s="3" t="n">
        <x:v>103.3</x:v>
      </x:c>
      <x:c r="J171" s="3" t="n">
        <x:v>3.4</x:v>
      </x:c>
      <x:c r="K171" t="str">
        <x:v>Retail</x:v>
      </x:c>
      <x:c r="L171" t="str">
        <x:v>Tech 14</x:v>
      </x:c>
    </x:row>
    <x:row r="172">
      <x:c r="A172" t="str">
        <x:v>TS-8171</x:v>
      </x:c>
      <x:c r="B172" t="str">
        <x:v>Mar</x:v>
      </x:c>
      <x:c r="C172" t="str">
        <x:v>Open</x:v>
      </x:c>
      <x:c r="D172" t="str">
        <x:v>TV</x:v>
      </x:c>
      <x:c r="E172" t="str">
        <x:v>East</x:v>
      </x:c>
      <x:c r="F172" t="str">
        <x:v>High</x:v>
      </x:c>
      <x:c r="G172" t="str">
        <x:v>Dropped Calls</x:v>
      </x:c>
      <x:c r="H172" s="3" t="n">
        <x:v>14.2</x:v>
      </x:c>
      <x:c r="I172" s="3" t="n">
        <x:v>17</x:v>
      </x:c>
      <x:c r="J172" s="3" t="n">
        <x:v>4.5</x:v>
      </x:c>
      <x:c r="K172" t="str">
        <x:v>Phone</x:v>
      </x:c>
      <x:c r="L172" t="str">
        <x:v>Tech 3</x:v>
      </x:c>
    </x:row>
    <x:row r="173">
      <x:c r="A173" t="str">
        <x:v>TS-8172</x:v>
      </x:c>
      <x:c r="B173" t="str">
        <x:v>Apr</x:v>
      </x:c>
      <x:c r="C173" t="str">
        <x:v>Open</x:v>
      </x:c>
      <x:c r="D173" t="str">
        <x:v>Mobile</x:v>
      </x:c>
      <x:c r="E173" t="str">
        <x:v>West</x:v>
      </x:c>
      <x:c r="F173" t="str">
        <x:v>Low</x:v>
      </x:c>
      <x:c r="G173" t="str">
        <x:v>Billing Error</x:v>
      </x:c>
      <x:c r="H173" s="3" t="n">
        <x:v>13.5</x:v>
      </x:c>
      <x:c r="I173" s="3" t="n">
        <x:v>10.7</x:v>
      </x:c>
      <x:c r="J173" s="3" t="n">
        <x:v>3.1</x:v>
      </x:c>
      <x:c r="K173" t="str">
        <x:v>Web</x:v>
      </x:c>
      <x:c r="L173" t="str">
        <x:v>Tech 10</x:v>
      </x:c>
    </x:row>
    <x:row r="174">
      <x:c r="A174" t="str">
        <x:v>TS-8173</x:v>
      </x:c>
      <x:c r="B174" t="str">
        <x:v>May</x:v>
      </x:c>
      <x:c r="C174" t="str">
        <x:v>Resolved</x:v>
      </x:c>
      <x:c r="D174" t="str">
        <x:v>Broadband</x:v>
      </x:c>
      <x:c r="E174" t="str">
        <x:v>North</x:v>
      </x:c>
      <x:c r="F174" t="str">
        <x:v>Medium</x:v>
      </x:c>
      <x:c r="G174" t="str">
        <x:v>No Signal</x:v>
      </x:c>
      <x:c r="H174" s="3" t="n">
        <x:v>14.799999999999999</x:v>
      </x:c>
      <x:c r="I174" s="3" t="n">
        <x:v>12.4</x:v>
      </x:c>
      <x:c r="J174" s="3" t="n">
        <x:v>4.2</x:v>
      </x:c>
      <x:c r="K174" t="str">
        <x:v>App</x:v>
      </x:c>
      <x:c r="L174" t="str">
        <x:v>Tech 17</x:v>
      </x:c>
    </x:row>
    <x:row r="175">
      <x:c r="A175" t="str">
        <x:v>TS-8174</x:v>
      </x:c>
      <x:c r="B175" t="str">
        <x:v>Jun</x:v>
      </x:c>
      <x:c r="C175" t="str">
        <x:v>In Progress</x:v>
      </x:c>
      <x:c r="D175" t="str">
        <x:v>Landline</x:v>
      </x:c>
      <x:c r="E175" t="str">
        <x:v>South</x:v>
      </x:c>
      <x:c r="F175" t="str">
        <x:v>High</x:v>
      </x:c>
      <x:c r="G175" t="str">
        <x:v>Installation Delay</x:v>
      </x:c>
      <x:c r="H175" s="3" t="n">
        <x:v>18.1</x:v>
      </x:c>
      <x:c r="I175" s="3" t="n">
        <x:v>22.1</x:v>
      </x:c>
      <x:c r="J175" s="3" t="n">
        <x:v>2.8</x:v>
      </x:c>
      <x:c r="K175" t="str">
        <x:v>Retail</x:v>
      </x:c>
      <x:c r="L175" t="str">
        <x:v>Tech 6</x:v>
      </x:c>
    </x:row>
    <x:row r="176">
      <x:c r="A176" t="str">
        <x:v>TS-8175</x:v>
      </x:c>
      <x:c r="B176" t="str">
        <x:v>Jul</x:v>
      </x:c>
      <x:c r="C176" t="str">
        <x:v>Open</x:v>
      </x:c>
      <x:c r="D176" t="str">
        <x:v>TV</x:v>
      </x:c>
      <x:c r="E176" t="str">
        <x:v>East</x:v>
      </x:c>
      <x:c r="F176" t="str">
        <x:v>Low</x:v>
      </x:c>
      <x:c r="G176" t="str">
        <x:v>Slow Internet</x:v>
      </x:c>
      <x:c r="H176" s="3" t="n">
        <x:v>17.4</x:v>
      </x:c>
      <x:c r="I176" s="3" t="n">
        <x:v>15.8</x:v>
      </x:c>
      <x:c r="J176" s="3" t="n">
        <x:v>3.9</x:v>
      </x:c>
      <x:c r="K176" t="str">
        <x:v>Phone</x:v>
      </x:c>
      <x:c r="L176" t="str">
        <x:v>Tech 13</x:v>
      </x:c>
    </x:row>
    <x:row r="177">
      <x:c r="A177" t="str">
        <x:v>TS-8176</x:v>
      </x:c>
      <x:c r="B177" t="str">
        <x:v>Aug</x:v>
      </x:c>
      <x:c r="C177" t="str">
        <x:v>Resolved</x:v>
      </x:c>
      <x:c r="D177" t="str">
        <x:v>Mobile</x:v>
      </x:c>
      <x:c r="E177" t="str">
        <x:v>West</x:v>
      </x:c>
      <x:c r="F177" t="str">
        <x:v>Medium</x:v>
      </x:c>
      <x:c r="G177" t="str">
        <x:v>Service Outage</x:v>
      </x:c>
      <x:c r="H177" s="3" t="n">
        <x:v>18.7</x:v>
      </x:c>
      <x:c r="I177" s="3" t="n">
        <x:v>17.5</x:v>
      </x:c>
      <x:c r="J177" s="3" t="n">
        <x:v>2.5</x:v>
      </x:c>
      <x:c r="K177" t="str">
        <x:v>Web</x:v>
      </x:c>
      <x:c r="L177" t="str">
        <x:v>Tech 2</x:v>
      </x:c>
    </x:row>
    <x:row r="178">
      <x:c r="A178" t="str">
        <x:v>TS-8177</x:v>
      </x:c>
      <x:c r="B178" t="str">
        <x:v>Sep</x:v>
      </x:c>
      <x:c r="C178" t="str">
        <x:v>In Progress</x:v>
      </x:c>
      <x:c r="D178" t="str">
        <x:v>Broadband</x:v>
      </x:c>
      <x:c r="E178" t="str">
        <x:v>North</x:v>
      </x:c>
      <x:c r="F178" t="str">
        <x:v>High</x:v>
      </x:c>
      <x:c r="G178" t="str">
        <x:v>Dropped Calls</x:v>
      </x:c>
      <x:c r="H178" s="3" t="n">
        <x:v>22</x:v>
      </x:c>
      <x:c r="I178" s="3" t="n">
        <x:v>27.2</x:v>
      </x:c>
      <x:c r="J178" s="3" t="n">
        <x:v>3.6</x:v>
      </x:c>
      <x:c r="K178" t="str">
        <x:v>App</x:v>
      </x:c>
      <x:c r="L178" t="str">
        <x:v>Tech 9</x:v>
      </x:c>
    </x:row>
    <x:row r="179">
      <x:c r="A179" t="str">
        <x:v>TS-8178</x:v>
      </x:c>
      <x:c r="B179" t="str">
        <x:v>Oct</x:v>
      </x:c>
      <x:c r="C179" t="str">
        <x:v>Open</x:v>
      </x:c>
      <x:c r="D179" t="str">
        <x:v>Landline</x:v>
      </x:c>
      <x:c r="E179" t="str">
        <x:v>South</x:v>
      </x:c>
      <x:c r="F179" t="str">
        <x:v>Low</x:v>
      </x:c>
      <x:c r="G179" t="str">
        <x:v>Billing Error</x:v>
      </x:c>
      <x:c r="H179" s="3" t="n">
        <x:v>21.3</x:v>
      </x:c>
      <x:c r="I179" s="3" t="n">
        <x:v>20.9</x:v>
      </x:c>
      <x:c r="J179" s="3" t="n">
        <x:v>4.7</x:v>
      </x:c>
      <x:c r="K179" t="str">
        <x:v>Retail</x:v>
      </x:c>
      <x:c r="L179" t="str">
        <x:v>Tech 16</x:v>
      </x:c>
    </x:row>
    <x:row r="180">
      <x:c r="A180" t="str">
        <x:v>TS-8179</x:v>
      </x:c>
      <x:c r="B180" t="str">
        <x:v>Nov</x:v>
      </x:c>
      <x:c r="C180" t="str">
        <x:v>Resolved</x:v>
      </x:c>
      <x:c r="D180" t="str">
        <x:v>TV</x:v>
      </x:c>
      <x:c r="E180" t="str">
        <x:v>East</x:v>
      </x:c>
      <x:c r="F180" t="str">
        <x:v>Medium</x:v>
      </x:c>
      <x:c r="G180" t="str">
        <x:v>No Signal</x:v>
      </x:c>
      <x:c r="H180" s="3" t="n">
        <x:v>1.6</x:v>
      </x:c>
      <x:c r="I180" s="3" t="n">
        <x:v>22.6</x:v>
      </x:c>
      <x:c r="J180" s="3" t="n">
        <x:v>3.3</x:v>
      </x:c>
      <x:c r="K180" t="str">
        <x:v>Phone</x:v>
      </x:c>
      <x:c r="L180" t="str">
        <x:v>Tech 5</x:v>
      </x:c>
    </x:row>
    <x:row r="181">
      <x:c r="A181" t="str">
        <x:v>TS-8180</x:v>
      </x:c>
      <x:c r="B181" t="str">
        <x:v>Dec</x:v>
      </x:c>
      <x:c r="C181" t="str">
        <x:v>In Progress</x:v>
      </x:c>
      <x:c r="D181" t="str">
        <x:v>Mobile</x:v>
      </x:c>
      <x:c r="E181" t="str">
        <x:v>West</x:v>
      </x:c>
      <x:c r="F181" t="str">
        <x:v>High</x:v>
      </x:c>
      <x:c r="G181" t="str">
        <x:v>Installation Delay</x:v>
      </x:c>
      <x:c r="H181" s="3" t="n">
        <x:v>4.9</x:v>
      </x:c>
      <x:c r="I181" s="3" t="n">
        <x:v>32.3</x:v>
      </x:c>
      <x:c r="J181" s="3" t="n">
        <x:v>4.4</x:v>
      </x:c>
      <x:c r="K181" t="str">
        <x:v>Web</x:v>
      </x:c>
      <x:c r="L181" t="str">
        <x:v>Tech 12</x:v>
      </x:c>
    </x:row>
    <x:row r="182">
      <x:c r="A182" t="str">
        <x:v>TS-8181</x:v>
      </x:c>
      <x:c r="B182" t="str">
        <x:v>Jan</x:v>
      </x:c>
      <x:c r="C182" t="str">
        <x:v>Open</x:v>
      </x:c>
      <x:c r="D182" t="str">
        <x:v>Broadband</x:v>
      </x:c>
      <x:c r="E182" t="str">
        <x:v>North</x:v>
      </x:c>
      <x:c r="F182" t="str">
        <x:v>Low</x:v>
      </x:c>
      <x:c r="G182" t="str">
        <x:v>Slow Internet</x:v>
      </x:c>
      <x:c r="H182" s="3" t="n">
        <x:v>4.2</x:v>
      </x:c>
      <x:c r="I182" s="3" t="n">
        <x:v>26</x:v>
      </x:c>
      <x:c r="J182" s="3" t="n">
        <x:v>3</x:v>
      </x:c>
      <x:c r="K182" t="str">
        <x:v>App</x:v>
      </x:c>
      <x:c r="L182" t="str">
        <x:v>Tech 1</x:v>
      </x:c>
    </x:row>
    <x:row r="183">
      <x:c r="A183" t="str">
        <x:v>TS-8182</x:v>
      </x:c>
      <x:c r="B183" t="str">
        <x:v>Feb</x:v>
      </x:c>
      <x:c r="C183" t="str">
        <x:v>Resolved</x:v>
      </x:c>
      <x:c r="D183" t="str">
        <x:v>Landline</x:v>
      </x:c>
      <x:c r="E183" t="str">
        <x:v>South</x:v>
      </x:c>
      <x:c r="F183" t="str">
        <x:v>Medium</x:v>
      </x:c>
      <x:c r="G183" t="str">
        <x:v>Service Outage</x:v>
      </x:c>
      <x:c r="H183" s="3" t="n">
        <x:v>5.5</x:v>
      </x:c>
      <x:c r="I183" s="3" t="n">
        <x:v>27.7</x:v>
      </x:c>
      <x:c r="J183" s="3" t="n">
        <x:v>4.1</x:v>
      </x:c>
      <x:c r="K183" t="str">
        <x:v>Retail</x:v>
      </x:c>
      <x:c r="L183" t="str">
        <x:v>Tech 8</x:v>
      </x:c>
    </x:row>
    <x:row r="184">
      <x:c r="A184" t="str">
        <x:v>TS-8183</x:v>
      </x:c>
      <x:c r="B184" t="str">
        <x:v>Mar</x:v>
      </x:c>
      <x:c r="C184" t="str">
        <x:v>In Progress</x:v>
      </x:c>
      <x:c r="D184" t="str">
        <x:v>TV</x:v>
      </x:c>
      <x:c r="E184" t="str">
        <x:v>East</x:v>
      </x:c>
      <x:c r="F184" t="str">
        <x:v>High</x:v>
      </x:c>
      <x:c r="G184" t="str">
        <x:v>Dropped Calls</x:v>
      </x:c>
      <x:c r="H184" s="3" t="n">
        <x:v>8.8</x:v>
      </x:c>
      <x:c r="I184" s="3" t="n">
        <x:v>37.4</x:v>
      </x:c>
      <x:c r="J184" s="3" t="n">
        <x:v>2.7</x:v>
      </x:c>
      <x:c r="K184" t="str">
        <x:v>Phone</x:v>
      </x:c>
      <x:c r="L184" t="str">
        <x:v>Tech 15</x:v>
      </x:c>
    </x:row>
    <x:row r="185">
      <x:c r="A185" t="str">
        <x:v>TS-8184</x:v>
      </x:c>
      <x:c r="B185" t="str">
        <x:v>Apr</x:v>
      </x:c>
      <x:c r="C185" t="str">
        <x:v>Open</x:v>
      </x:c>
      <x:c r="D185" t="str">
        <x:v>Mobile</x:v>
      </x:c>
      <x:c r="E185" t="str">
        <x:v>West</x:v>
      </x:c>
      <x:c r="F185" t="str">
        <x:v>Low</x:v>
      </x:c>
      <x:c r="G185" t="str">
        <x:v>Billing Error</x:v>
      </x:c>
      <x:c r="H185" s="3" t="n">
        <x:v>8.1</x:v>
      </x:c>
      <x:c r="I185" s="3" t="n">
        <x:v>31.1</x:v>
      </x:c>
      <x:c r="J185" s="3" t="n">
        <x:v>3.8</x:v>
      </x:c>
      <x:c r="K185" t="str">
        <x:v>Web</x:v>
      </x:c>
      <x:c r="L185" t="str">
        <x:v>Tech 4</x:v>
      </x:c>
    </x:row>
    <x:row r="186">
      <x:c r="A186" t="str">
        <x:v>TS-8185</x:v>
      </x:c>
      <x:c r="B186" t="str">
        <x:v>May</x:v>
      </x:c>
      <x:c r="C186" t="str">
        <x:v>Resolved</x:v>
      </x:c>
      <x:c r="D186" t="str">
        <x:v>Broadband</x:v>
      </x:c>
      <x:c r="E186" t="str">
        <x:v>North</x:v>
      </x:c>
      <x:c r="F186" t="str">
        <x:v>Medium</x:v>
      </x:c>
      <x:c r="G186" t="str">
        <x:v>No Signal</x:v>
      </x:c>
      <x:c r="H186" s="3" t="n">
        <x:v>9.399999999999999</x:v>
      </x:c>
      <x:c r="I186" s="3" t="n">
        <x:v>32.8</x:v>
      </x:c>
      <x:c r="J186" s="3" t="n">
        <x:v>4.9</x:v>
      </x:c>
      <x:c r="K186" t="str">
        <x:v>App</x:v>
      </x:c>
      <x:c r="L186" t="str">
        <x:v>Tech 11</x:v>
      </x:c>
    </x:row>
    <x:row r="187">
      <x:c r="A187" t="str">
        <x:v>TS-8186</x:v>
      </x:c>
      <x:c r="B187" t="str">
        <x:v>Jun</x:v>
      </x:c>
      <x:c r="C187" t="str">
        <x:v>In Progress</x:v>
      </x:c>
      <x:c r="D187" t="str">
        <x:v>Landline</x:v>
      </x:c>
      <x:c r="E187" t="str">
        <x:v>South</x:v>
      </x:c>
      <x:c r="F187" t="str">
        <x:v>High</x:v>
      </x:c>
      <x:c r="G187" t="str">
        <x:v>Installation Delay</x:v>
      </x:c>
      <x:c r="H187" s="3" t="n">
        <x:v>12.7</x:v>
      </x:c>
      <x:c r="I187" s="3" t="n">
        <x:v>42.5</x:v>
      </x:c>
      <x:c r="J187" s="3" t="n">
        <x:v>3.5</x:v>
      </x:c>
      <x:c r="K187" t="str">
        <x:v>Retail</x:v>
      </x:c>
      <x:c r="L187" t="str">
        <x:v>Tech 18</x:v>
      </x:c>
    </x:row>
    <x:row r="188">
      <x:c r="A188" t="str">
        <x:v>TS-8187</x:v>
      </x:c>
      <x:c r="B188" t="str">
        <x:v>Jul</x:v>
      </x:c>
      <x:c r="C188" t="str">
        <x:v>Open</x:v>
      </x:c>
      <x:c r="D188" t="str">
        <x:v>TV</x:v>
      </x:c>
      <x:c r="E188" t="str">
        <x:v>East</x:v>
      </x:c>
      <x:c r="F188" t="str">
        <x:v>Low</x:v>
      </x:c>
      <x:c r="G188" t="str">
        <x:v>Slow Internet</x:v>
      </x:c>
      <x:c r="H188" s="3" t="n">
        <x:v>12</x:v>
      </x:c>
      <x:c r="I188" s="3" t="n">
        <x:v>36.2</x:v>
      </x:c>
      <x:c r="J188" s="3" t="n">
        <x:v>4.6</x:v>
      </x:c>
      <x:c r="K188" t="str">
        <x:v>Phone</x:v>
      </x:c>
      <x:c r="L188" t="str">
        <x:v>Tech 7</x:v>
      </x:c>
    </x:row>
    <x:row r="189">
      <x:c r="A189" t="str">
        <x:v>TS-8188</x:v>
      </x:c>
      <x:c r="B189" t="str">
        <x:v>Aug</x:v>
      </x:c>
      <x:c r="C189" t="str">
        <x:v>Resolved</x:v>
      </x:c>
      <x:c r="D189" t="str">
        <x:v>Mobile</x:v>
      </x:c>
      <x:c r="E189" t="str">
        <x:v>West</x:v>
      </x:c>
      <x:c r="F189" t="str">
        <x:v>Medium</x:v>
      </x:c>
      <x:c r="G189" t="str">
        <x:v>Service Outage</x:v>
      </x:c>
      <x:c r="H189" s="3" t="n">
        <x:v>13.299999999999999</x:v>
      </x:c>
      <x:c r="I189" s="3" t="n">
        <x:v>37.9</x:v>
      </x:c>
      <x:c r="J189" s="3" t="n">
        <x:v>3.2</x:v>
      </x:c>
      <x:c r="K189" t="str">
        <x:v>Web</x:v>
      </x:c>
      <x:c r="L189" t="str">
        <x:v>Tech 14</x:v>
      </x:c>
    </x:row>
    <x:row r="190">
      <x:c r="A190" t="str">
        <x:v>TS-8189</x:v>
      </x:c>
      <x:c r="B190" t="str">
        <x:v>Sep</x:v>
      </x:c>
      <x:c r="C190" t="str">
        <x:v>In Progress</x:v>
      </x:c>
      <x:c r="D190" t="str">
        <x:v>Broadband</x:v>
      </x:c>
      <x:c r="E190" t="str">
        <x:v>North</x:v>
      </x:c>
      <x:c r="F190" t="str">
        <x:v>High</x:v>
      </x:c>
      <x:c r="G190" t="str">
        <x:v>Dropped Calls</x:v>
      </x:c>
      <x:c r="H190" s="3" t="n">
        <x:v>16.6</x:v>
      </x:c>
      <x:c r="I190" s="3" t="n">
        <x:v>47.6</x:v>
      </x:c>
      <x:c r="J190" s="3" t="n">
        <x:v>4.3</x:v>
      </x:c>
      <x:c r="K190" t="str">
        <x:v>App</x:v>
      </x:c>
      <x:c r="L190" t="str">
        <x:v>Tech 3</x:v>
      </x:c>
    </x:row>
    <x:row r="191">
      <x:c r="A191" t="str">
        <x:v>TS-8190</x:v>
      </x:c>
      <x:c r="B191" t="str">
        <x:v>Oct</x:v>
      </x:c>
      <x:c r="C191" t="str">
        <x:v>Open</x:v>
      </x:c>
      <x:c r="D191" t="str">
        <x:v>Landline</x:v>
      </x:c>
      <x:c r="E191" t="str">
        <x:v>South</x:v>
      </x:c>
      <x:c r="F191" t="str">
        <x:v>Low</x:v>
      </x:c>
      <x:c r="G191" t="str">
        <x:v>Billing Error</x:v>
      </x:c>
      <x:c r="H191" s="3" t="n">
        <x:v>15.899999999999999</x:v>
      </x:c>
      <x:c r="I191" s="3" t="n">
        <x:v>41.3</x:v>
      </x:c>
      <x:c r="J191" s="3" t="n">
        <x:v>2.9</x:v>
      </x:c>
      <x:c r="K191" t="str">
        <x:v>Retail</x:v>
      </x:c>
      <x:c r="L191" t="str">
        <x:v>Tech 10</x:v>
      </x:c>
    </x:row>
    <x:row r="192">
      <x:c r="A192" t="str">
        <x:v>TS-8191</x:v>
      </x:c>
      <x:c r="B192" t="str">
        <x:v>Nov</x:v>
      </x:c>
      <x:c r="C192" t="str">
        <x:v>Open</x:v>
      </x:c>
      <x:c r="D192" t="str">
        <x:v>TV</x:v>
      </x:c>
      <x:c r="E192" t="str">
        <x:v>East</x:v>
      </x:c>
      <x:c r="F192" t="str">
        <x:v>Medium</x:v>
      </x:c>
      <x:c r="G192" t="str">
        <x:v>No Signal</x:v>
      </x:c>
      <x:c r="H192" s="3" t="n">
        <x:v>17.2</x:v>
      </x:c>
      <x:c r="I192" s="3" t="n">
        <x:v>43</x:v>
      </x:c>
      <x:c r="J192" s="3" t="n">
        <x:v>4</x:v>
      </x:c>
      <x:c r="K192" t="str">
        <x:v>Phone</x:v>
      </x:c>
      <x:c r="L192" t="str">
        <x:v>Tech 17</x:v>
      </x:c>
    </x:row>
    <x:row r="193">
      <x:c r="A193" t="str">
        <x:v>TS-8192</x:v>
      </x:c>
      <x:c r="B193" t="str">
        <x:v>Dec</x:v>
      </x:c>
      <x:c r="C193" t="str">
        <x:v>Resolved</x:v>
      </x:c>
      <x:c r="D193" t="str">
        <x:v>Mobile</x:v>
      </x:c>
      <x:c r="E193" t="str">
        <x:v>West</x:v>
      </x:c>
      <x:c r="F193" t="str">
        <x:v>High</x:v>
      </x:c>
      <x:c r="G193" t="str">
        <x:v>Installation Delay</x:v>
      </x:c>
      <x:c r="H193" s="3" t="n">
        <x:v>20.5</x:v>
      </x:c>
      <x:c r="I193" s="3" t="n">
        <x:v>52.7</x:v>
      </x:c>
      <x:c r="J193" s="3" t="n">
        <x:v>2.6</x:v>
      </x:c>
      <x:c r="K193" t="str">
        <x:v>Web</x:v>
      </x:c>
      <x:c r="L193" t="str">
        <x:v>Tech 6</x:v>
      </x:c>
    </x:row>
    <x:row r="194">
      <x:c r="A194" t="str">
        <x:v>TS-8193</x:v>
      </x:c>
      <x:c r="B194" t="str">
        <x:v>Jan</x:v>
      </x:c>
      <x:c r="C194" t="str">
        <x:v>In Progress</x:v>
      </x:c>
      <x:c r="D194" t="str">
        <x:v>Broadband</x:v>
      </x:c>
      <x:c r="E194" t="str">
        <x:v>North</x:v>
      </x:c>
      <x:c r="F194" t="str">
        <x:v>Low</x:v>
      </x:c>
      <x:c r="G194" t="str">
        <x:v>Slow Internet</x:v>
      </x:c>
      <x:c r="H194" s="3" t="n">
        <x:v>19.8</x:v>
      </x:c>
      <x:c r="I194" s="3" t="n">
        <x:v>46.4</x:v>
      </x:c>
      <x:c r="J194" s="3" t="n">
        <x:v>3.7</x:v>
      </x:c>
      <x:c r="K194" t="str">
        <x:v>App</x:v>
      </x:c>
      <x:c r="L194" t="str">
        <x:v>Tech 13</x:v>
      </x:c>
    </x:row>
    <x:row r="195">
      <x:c r="A195" t="str">
        <x:v>TS-8194</x:v>
      </x:c>
      <x:c r="B195" t="str">
        <x:v>Feb</x:v>
      </x:c>
      <x:c r="C195" t="str">
        <x:v>Open</x:v>
      </x:c>
      <x:c r="D195" t="str">
        <x:v>Landline</x:v>
      </x:c>
      <x:c r="E195" t="str">
        <x:v>South</x:v>
      </x:c>
      <x:c r="F195" t="str">
        <x:v>Medium</x:v>
      </x:c>
      <x:c r="G195" t="str">
        <x:v>Service Outage</x:v>
      </x:c>
      <x:c r="H195" s="3" t="n">
        <x:v>21.099999999999998</x:v>
      </x:c>
      <x:c r="I195" s="3" t="n">
        <x:v>48.1</x:v>
      </x:c>
      <x:c r="J195" s="3" t="n">
        <x:v>4.8</x:v>
      </x:c>
      <x:c r="K195" t="str">
        <x:v>Retail</x:v>
      </x:c>
      <x:c r="L195" t="str">
        <x:v>Tech 2</x:v>
      </x:c>
    </x:row>
    <x:row r="196">
      <x:c r="A196" t="str">
        <x:v>TS-8195</x:v>
      </x:c>
      <x:c r="B196" t="str">
        <x:v>Mar</x:v>
      </x:c>
      <x:c r="C196" t="str">
        <x:v>Resolved</x:v>
      </x:c>
      <x:c r="D196" t="str">
        <x:v>TV</x:v>
      </x:c>
      <x:c r="E196" t="str">
        <x:v>East</x:v>
      </x:c>
      <x:c r="F196" t="str">
        <x:v>High</x:v>
      </x:c>
      <x:c r="G196" t="str">
        <x:v>Dropped Calls</x:v>
      </x:c>
      <x:c r="H196" s="3" t="n">
        <x:v>3.4</x:v>
      </x:c>
      <x:c r="I196" s="3" t="n">
        <x:v>57.8</x:v>
      </x:c>
      <x:c r="J196" s="3" t="n">
        <x:v>3.4</x:v>
      </x:c>
      <x:c r="K196" t="str">
        <x:v>Phone</x:v>
      </x:c>
      <x:c r="L196" t="str">
        <x:v>Tech 9</x:v>
      </x:c>
    </x:row>
    <x:row r="197">
      <x:c r="A197" t="str">
        <x:v>TS-8196</x:v>
      </x:c>
      <x:c r="B197" t="str">
        <x:v>Apr</x:v>
      </x:c>
      <x:c r="C197" t="str">
        <x:v>In Progress</x:v>
      </x:c>
      <x:c r="D197" t="str">
        <x:v>Mobile</x:v>
      </x:c>
      <x:c r="E197" t="str">
        <x:v>West</x:v>
      </x:c>
      <x:c r="F197" t="str">
        <x:v>Low</x:v>
      </x:c>
      <x:c r="G197" t="str">
        <x:v>Billing Error</x:v>
      </x:c>
      <x:c r="H197" s="3" t="n">
        <x:v>2.7</x:v>
      </x:c>
      <x:c r="I197" s="3" t="n">
        <x:v>51.5</x:v>
      </x:c>
      <x:c r="J197" s="3" t="n">
        <x:v>4.5</x:v>
      </x:c>
      <x:c r="K197" t="str">
        <x:v>Web</x:v>
      </x:c>
      <x:c r="L197" t="str">
        <x:v>Tech 16</x:v>
      </x:c>
    </x:row>
    <x:row r="198">
      <x:c r="A198" t="str">
        <x:v>TS-8197</x:v>
      </x:c>
      <x:c r="B198" t="str">
        <x:v>May</x:v>
      </x:c>
      <x:c r="C198" t="str">
        <x:v>Open</x:v>
      </x:c>
      <x:c r="D198" t="str">
        <x:v>Broadband</x:v>
      </x:c>
      <x:c r="E198" t="str">
        <x:v>North</x:v>
      </x:c>
      <x:c r="F198" t="str">
        <x:v>Medium</x:v>
      </x:c>
      <x:c r="G198" t="str">
        <x:v>No Signal</x:v>
      </x:c>
      <x:c r="H198" s="3" t="n">
        <x:v>4</x:v>
      </x:c>
      <x:c r="I198" s="3" t="n">
        <x:v>53.2</x:v>
      </x:c>
      <x:c r="J198" s="3" t="n">
        <x:v>3.1</x:v>
      </x:c>
      <x:c r="K198" t="str">
        <x:v>App</x:v>
      </x:c>
      <x:c r="L198" t="str">
        <x:v>Tech 5</x:v>
      </x:c>
    </x:row>
    <x:row r="199">
      <x:c r="A199" t="str">
        <x:v>TS-8198</x:v>
      </x:c>
      <x:c r="B199" t="str">
        <x:v>Jun</x:v>
      </x:c>
      <x:c r="C199" t="str">
        <x:v>Resolved</x:v>
      </x:c>
      <x:c r="D199" t="str">
        <x:v>Landline</x:v>
      </x:c>
      <x:c r="E199" t="str">
        <x:v>South</x:v>
      </x:c>
      <x:c r="F199" t="str">
        <x:v>High</x:v>
      </x:c>
      <x:c r="G199" t="str">
        <x:v>Installation Delay</x:v>
      </x:c>
      <x:c r="H199" s="3" t="n">
        <x:v>7.3</x:v>
      </x:c>
      <x:c r="I199" s="3" t="n">
        <x:v>62.9</x:v>
      </x:c>
      <x:c r="J199" s="3" t="n">
        <x:v>4.2</x:v>
      </x:c>
      <x:c r="K199" t="str">
        <x:v>Retail</x:v>
      </x:c>
      <x:c r="L199" t="str">
        <x:v>Tech 12</x:v>
      </x:c>
    </x:row>
    <x:row r="200">
      <x:c r="A200" t="str">
        <x:v>TS-8199</x:v>
      </x:c>
      <x:c r="B200" t="str">
        <x:v>Jul</x:v>
      </x:c>
      <x:c r="C200" t="str">
        <x:v>In Progress</x:v>
      </x:c>
      <x:c r="D200" t="str">
        <x:v>TV</x:v>
      </x:c>
      <x:c r="E200" t="str">
        <x:v>East</x:v>
      </x:c>
      <x:c r="F200" t="str">
        <x:v>Low</x:v>
      </x:c>
      <x:c r="G200" t="str">
        <x:v>Slow Internet</x:v>
      </x:c>
      <x:c r="H200" s="3" t="n">
        <x:v>6.6000000000000005</x:v>
      </x:c>
      <x:c r="I200" s="3" t="n">
        <x:v>56.6</x:v>
      </x:c>
      <x:c r="J200" s="3" t="n">
        <x:v>2.8</x:v>
      </x:c>
      <x:c r="K200" t="str">
        <x:v>Phone</x:v>
      </x:c>
      <x:c r="L200" t="str">
        <x:v>Tech 1</x:v>
      </x:c>
    </x:row>
    <x:row r="201">
      <x:c r="A201" t="str">
        <x:v>TS-8200</x:v>
      </x:c>
      <x:c r="B201" t="str">
        <x:v>Aug</x:v>
      </x:c>
      <x:c r="C201" t="str">
        <x:v>Open</x:v>
      </x:c>
      <x:c r="D201" t="str">
        <x:v>Mobile</x:v>
      </x:c>
      <x:c r="E201" t="str">
        <x:v>West</x:v>
      </x:c>
      <x:c r="F201" t="str">
        <x:v>Medium</x:v>
      </x:c>
      <x:c r="G201" t="str">
        <x:v>Service Outage</x:v>
      </x:c>
      <x:c r="H201" s="3" t="n">
        <x:v>7.9</x:v>
      </x:c>
      <x:c r="I201" s="3" t="n">
        <x:v>58.3</x:v>
      </x:c>
      <x:c r="J201" s="3" t="n">
        <x:v>3.9</x:v>
      </x:c>
      <x:c r="K201" t="str">
        <x:v>Web</x:v>
      </x:c>
      <x:c r="L201" t="str">
        <x:v>Tech 8</x:v>
      </x:c>
    </x:row>
    <x:row r="202">
      <x:c r="A202" t="str">
        <x:v>TS-8201</x:v>
      </x:c>
      <x:c r="B202" t="str">
        <x:v>Sep</x:v>
      </x:c>
      <x:c r="C202" t="str">
        <x:v>Resolved</x:v>
      </x:c>
      <x:c r="D202" t="str">
        <x:v>Broadband</x:v>
      </x:c>
      <x:c r="E202" t="str">
        <x:v>North</x:v>
      </x:c>
      <x:c r="F202" t="str">
        <x:v>High</x:v>
      </x:c>
      <x:c r="G202" t="str">
        <x:v>Dropped Calls</x:v>
      </x:c>
      <x:c r="H202" s="3" t="n">
        <x:v>11.2</x:v>
      </x:c>
      <x:c r="I202" s="3" t="n">
        <x:v>68</x:v>
      </x:c>
      <x:c r="J202" s="3" t="n">
        <x:v>2.5</x:v>
      </x:c>
      <x:c r="K202" t="str">
        <x:v>App</x:v>
      </x:c>
      <x:c r="L202" t="str">
        <x:v>Tech 15</x:v>
      </x:c>
    </x:row>
    <x:row r="203">
      <x:c r="A203" t="str">
        <x:v>TS-8202</x:v>
      </x:c>
      <x:c r="B203" t="str">
        <x:v>Oct</x:v>
      </x:c>
      <x:c r="C203" t="str">
        <x:v>In Progress</x:v>
      </x:c>
      <x:c r="D203" t="str">
        <x:v>Landline</x:v>
      </x:c>
      <x:c r="E203" t="str">
        <x:v>South</x:v>
      </x:c>
      <x:c r="F203" t="str">
        <x:v>Low</x:v>
      </x:c>
      <x:c r="G203" t="str">
        <x:v>Billing Error</x:v>
      </x:c>
      <x:c r="H203" s="3" t="n">
        <x:v>10.5</x:v>
      </x:c>
      <x:c r="I203" s="3" t="n">
        <x:v>61.7</x:v>
      </x:c>
      <x:c r="J203" s="3" t="n">
        <x:v>3.6</x:v>
      </x:c>
      <x:c r="K203" t="str">
        <x:v>Retail</x:v>
      </x:c>
      <x:c r="L203" t="str">
        <x:v>Tech 4</x:v>
      </x:c>
    </x:row>
    <x:row r="204">
      <x:c r="A204" t="str">
        <x:v>TS-8203</x:v>
      </x:c>
      <x:c r="B204" t="str">
        <x:v>Nov</x:v>
      </x:c>
      <x:c r="C204" t="str">
        <x:v>Open</x:v>
      </x:c>
      <x:c r="D204" t="str">
        <x:v>TV</x:v>
      </x:c>
      <x:c r="E204" t="str">
        <x:v>East</x:v>
      </x:c>
      <x:c r="F204" t="str">
        <x:v>Medium</x:v>
      </x:c>
      <x:c r="G204" t="str">
        <x:v>No Signal</x:v>
      </x:c>
      <x:c r="H204" s="3" t="n">
        <x:v>11.799999999999999</x:v>
      </x:c>
      <x:c r="I204" s="3" t="n">
        <x:v>63.4</x:v>
      </x:c>
      <x:c r="J204" s="3" t="n">
        <x:v>4.7</x:v>
      </x:c>
      <x:c r="K204" t="str">
        <x:v>Phone</x:v>
      </x:c>
      <x:c r="L204" t="str">
        <x:v>Tech 11</x:v>
      </x:c>
    </x:row>
    <x:row r="205">
      <x:c r="A205" t="str">
        <x:v>TS-8204</x:v>
      </x:c>
      <x:c r="B205" t="str">
        <x:v>Dec</x:v>
      </x:c>
      <x:c r="C205" t="str">
        <x:v>Resolved</x:v>
      </x:c>
      <x:c r="D205" t="str">
        <x:v>Mobile</x:v>
      </x:c>
      <x:c r="E205" t="str">
        <x:v>West</x:v>
      </x:c>
      <x:c r="F205" t="str">
        <x:v>High</x:v>
      </x:c>
      <x:c r="G205" t="str">
        <x:v>Installation Delay</x:v>
      </x:c>
      <x:c r="H205" s="3" t="n">
        <x:v>15.1</x:v>
      </x:c>
      <x:c r="I205" s="3" t="n">
        <x:v>73.1</x:v>
      </x:c>
      <x:c r="J205" s="3" t="n">
        <x:v>3.3</x:v>
      </x:c>
      <x:c r="K205" t="str">
        <x:v>Web</x:v>
      </x:c>
      <x:c r="L205" t="str">
        <x:v>Tech 18</x:v>
      </x:c>
    </x:row>
    <x:row r="206">
      <x:c r="A206" t="str">
        <x:v>TS-8205</x:v>
      </x:c>
      <x:c r="B206" t="str">
        <x:v>Jan</x:v>
      </x:c>
      <x:c r="C206" t="str">
        <x:v>In Progress</x:v>
      </x:c>
      <x:c r="D206" t="str">
        <x:v>Broadband</x:v>
      </x:c>
      <x:c r="E206" t="str">
        <x:v>North</x:v>
      </x:c>
      <x:c r="F206" t="str">
        <x:v>Low</x:v>
      </x:c>
      <x:c r="G206" t="str">
        <x:v>Slow Internet</x:v>
      </x:c>
      <x:c r="H206" s="3" t="n">
        <x:v>14.399999999999999</x:v>
      </x:c>
      <x:c r="I206" s="3" t="n">
        <x:v>66.8</x:v>
      </x:c>
      <x:c r="J206" s="3" t="n">
        <x:v>4.4</x:v>
      </x:c>
      <x:c r="K206" t="str">
        <x:v>App</x:v>
      </x:c>
      <x:c r="L206" t="str">
        <x:v>Tech 7</x:v>
      </x:c>
    </x:row>
    <x:row r="207">
      <x:c r="A207" t="str">
        <x:v>TS-8206</x:v>
      </x:c>
      <x:c r="B207" t="str">
        <x:v>Feb</x:v>
      </x:c>
      <x:c r="C207" t="str">
        <x:v>Open</x:v>
      </x:c>
      <x:c r="D207" t="str">
        <x:v>Landline</x:v>
      </x:c>
      <x:c r="E207" t="str">
        <x:v>South</x:v>
      </x:c>
      <x:c r="F207" t="str">
        <x:v>Medium</x:v>
      </x:c>
      <x:c r="G207" t="str">
        <x:v>Service Outage</x:v>
      </x:c>
      <x:c r="H207" s="3" t="n">
        <x:v>15.7</x:v>
      </x:c>
      <x:c r="I207" s="3" t="n">
        <x:v>68.5</x:v>
      </x:c>
      <x:c r="J207" s="3" t="n">
        <x:v>3</x:v>
      </x:c>
      <x:c r="K207" t="str">
        <x:v>Retail</x:v>
      </x:c>
      <x:c r="L207" t="str">
        <x:v>Tech 14</x:v>
      </x:c>
    </x:row>
    <x:row r="208">
      <x:c r="A208" t="str">
        <x:v>TS-8207</x:v>
      </x:c>
      <x:c r="B208" t="str">
        <x:v>Mar</x:v>
      </x:c>
      <x:c r="C208" t="str">
        <x:v>Resolved</x:v>
      </x:c>
      <x:c r="D208" t="str">
        <x:v>TV</x:v>
      </x:c>
      <x:c r="E208" t="str">
        <x:v>East</x:v>
      </x:c>
      <x:c r="F208" t="str">
        <x:v>High</x:v>
      </x:c>
      <x:c r="G208" t="str">
        <x:v>Dropped Calls</x:v>
      </x:c>
      <x:c r="H208" s="3" t="n">
        <x:v>19</x:v>
      </x:c>
      <x:c r="I208" s="3" t="n">
        <x:v>78.2</x:v>
      </x:c>
      <x:c r="J208" s="3" t="n">
        <x:v>4.1</x:v>
      </x:c>
      <x:c r="K208" t="str">
        <x:v>Phone</x:v>
      </x:c>
      <x:c r="L208" t="str">
        <x:v>Tech 3</x:v>
      </x:c>
    </x:row>
    <x:row r="209">
      <x:c r="A209" t="str">
        <x:v>TS-8208</x:v>
      </x:c>
      <x:c r="B209" t="str">
        <x:v>Apr</x:v>
      </x:c>
      <x:c r="C209" t="str">
        <x:v>In Progress</x:v>
      </x:c>
      <x:c r="D209" t="str">
        <x:v>Mobile</x:v>
      </x:c>
      <x:c r="E209" t="str">
        <x:v>West</x:v>
      </x:c>
      <x:c r="F209" t="str">
        <x:v>Low</x:v>
      </x:c>
      <x:c r="G209" t="str">
        <x:v>Billing Error</x:v>
      </x:c>
      <x:c r="H209" s="3" t="n">
        <x:v>18.3</x:v>
      </x:c>
      <x:c r="I209" s="3" t="n">
        <x:v>71.9</x:v>
      </x:c>
      <x:c r="J209" s="3" t="n">
        <x:v>2.7</x:v>
      </x:c>
      <x:c r="K209" t="str">
        <x:v>Web</x:v>
      </x:c>
      <x:c r="L209" t="str">
        <x:v>Tech 10</x:v>
      </x:c>
    </x:row>
    <x:row r="210">
      <x:c r="A210" t="str">
        <x:v>TS-8209</x:v>
      </x:c>
      <x:c r="B210" t="str">
        <x:v>May</x:v>
      </x:c>
      <x:c r="C210" t="str">
        <x:v>Open</x:v>
      </x:c>
      <x:c r="D210" t="str">
        <x:v>Broadband</x:v>
      </x:c>
      <x:c r="E210" t="str">
        <x:v>North</x:v>
      </x:c>
      <x:c r="F210" t="str">
        <x:v>Medium</x:v>
      </x:c>
      <x:c r="G210" t="str">
        <x:v>No Signal</x:v>
      </x:c>
      <x:c r="H210" s="3" t="n">
        <x:v>19.599999999999998</x:v>
      </x:c>
      <x:c r="I210" s="3" t="n">
        <x:v>73.6</x:v>
      </x:c>
      <x:c r="J210" s="3" t="n">
        <x:v>3.8</x:v>
      </x:c>
      <x:c r="K210" t="str">
        <x:v>App</x:v>
      </x:c>
      <x:c r="L210" t="str">
        <x:v>Tech 17</x:v>
      </x:c>
    </x:row>
    <x:row r="211">
      <x:c r="A211" t="str">
        <x:v>TS-8210</x:v>
      </x:c>
      <x:c r="B211" t="str">
        <x:v>Jun</x:v>
      </x:c>
      <x:c r="C211" t="str">
        <x:v>Open</x:v>
      </x:c>
      <x:c r="D211" t="str">
        <x:v>Landline</x:v>
      </x:c>
      <x:c r="E211" t="str">
        <x:v>South</x:v>
      </x:c>
      <x:c r="F211" t="str">
        <x:v>High</x:v>
      </x:c>
      <x:c r="G211" t="str">
        <x:v>Installation Delay</x:v>
      </x:c>
      <x:c r="H211" s="3" t="n">
        <x:v>22.9</x:v>
      </x:c>
      <x:c r="I211" s="3" t="n">
        <x:v>83.3</x:v>
      </x:c>
      <x:c r="J211" s="3" t="n">
        <x:v>4.9</x:v>
      </x:c>
      <x:c r="K211" t="str">
        <x:v>Retail</x:v>
      </x:c>
      <x:c r="L211" t="str">
        <x:v>Tech 6</x:v>
      </x:c>
    </x:row>
    <x:row r="212">
      <x:c r="A212" t="str">
        <x:v>TS-8211</x:v>
      </x:c>
      <x:c r="B212" t="str">
        <x:v>Jul</x:v>
      </x:c>
      <x:c r="C212" t="str">
        <x:v>Resolved</x:v>
      </x:c>
      <x:c r="D212" t="str">
        <x:v>TV</x:v>
      </x:c>
      <x:c r="E212" t="str">
        <x:v>East</x:v>
      </x:c>
      <x:c r="F212" t="str">
        <x:v>Low</x:v>
      </x:c>
      <x:c r="G212" t="str">
        <x:v>Slow Internet</x:v>
      </x:c>
      <x:c r="H212" s="3" t="n">
        <x:v>1.2</x:v>
      </x:c>
      <x:c r="I212" s="3" t="n">
        <x:v>77</x:v>
      </x:c>
      <x:c r="J212" s="3" t="n">
        <x:v>3.5</x:v>
      </x:c>
      <x:c r="K212" t="str">
        <x:v>Phone</x:v>
      </x:c>
      <x:c r="L212" t="str">
        <x:v>Tech 13</x:v>
      </x:c>
    </x:row>
    <x:row r="213">
      <x:c r="A213" t="str">
        <x:v>TS-8212</x:v>
      </x:c>
      <x:c r="B213" t="str">
        <x:v>Aug</x:v>
      </x:c>
      <x:c r="C213" t="str">
        <x:v>In Progress</x:v>
      </x:c>
      <x:c r="D213" t="str">
        <x:v>Mobile</x:v>
      </x:c>
      <x:c r="E213" t="str">
        <x:v>West</x:v>
      </x:c>
      <x:c r="F213" t="str">
        <x:v>Medium</x:v>
      </x:c>
      <x:c r="G213" t="str">
        <x:v>Service Outage</x:v>
      </x:c>
      <x:c r="H213" s="3" t="n">
        <x:v>2.5</x:v>
      </x:c>
      <x:c r="I213" s="3" t="n">
        <x:v>78.7</x:v>
      </x:c>
      <x:c r="J213" s="3" t="n">
        <x:v>4.6</x:v>
      </x:c>
      <x:c r="K213" t="str">
        <x:v>Web</x:v>
      </x:c>
      <x:c r="L213" t="str">
        <x:v>Tech 2</x:v>
      </x:c>
    </x:row>
    <x:row r="214">
      <x:c r="A214" t="str">
        <x:v>TS-8213</x:v>
      </x:c>
      <x:c r="B214" t="str">
        <x:v>Sep</x:v>
      </x:c>
      <x:c r="C214" t="str">
        <x:v>Open</x:v>
      </x:c>
      <x:c r="D214" t="str">
        <x:v>Broadband</x:v>
      </x:c>
      <x:c r="E214" t="str">
        <x:v>North</x:v>
      </x:c>
      <x:c r="F214" t="str">
        <x:v>High</x:v>
      </x:c>
      <x:c r="G214" t="str">
        <x:v>Dropped Calls</x:v>
      </x:c>
      <x:c r="H214" s="3" t="n">
        <x:v>5.8</x:v>
      </x:c>
      <x:c r="I214" s="3" t="n">
        <x:v>88.4</x:v>
      </x:c>
      <x:c r="J214" s="3" t="n">
        <x:v>3.2</x:v>
      </x:c>
      <x:c r="K214" t="str">
        <x:v>App</x:v>
      </x:c>
      <x:c r="L214" t="str">
        <x:v>Tech 9</x:v>
      </x:c>
    </x:row>
    <x:row r="215">
      <x:c r="A215" t="str">
        <x:v>TS-8214</x:v>
      </x:c>
      <x:c r="B215" t="str">
        <x:v>Oct</x:v>
      </x:c>
      <x:c r="C215" t="str">
        <x:v>Resolved</x:v>
      </x:c>
      <x:c r="D215" t="str">
        <x:v>Landline</x:v>
      </x:c>
      <x:c r="E215" t="str">
        <x:v>South</x:v>
      </x:c>
      <x:c r="F215" t="str">
        <x:v>Low</x:v>
      </x:c>
      <x:c r="G215" t="str">
        <x:v>Billing Error</x:v>
      </x:c>
      <x:c r="H215" s="3" t="n">
        <x:v>5.1</x:v>
      </x:c>
      <x:c r="I215" s="3" t="n">
        <x:v>82.1</x:v>
      </x:c>
      <x:c r="J215" s="3" t="n">
        <x:v>4.3</x:v>
      </x:c>
      <x:c r="K215" t="str">
        <x:v>Retail</x:v>
      </x:c>
      <x:c r="L215" t="str">
        <x:v>Tech 16</x:v>
      </x:c>
    </x:row>
    <x:row r="216">
      <x:c r="A216" t="str">
        <x:v>TS-8215</x:v>
      </x:c>
      <x:c r="B216" t="str">
        <x:v>Nov</x:v>
      </x:c>
      <x:c r="C216" t="str">
        <x:v>In Progress</x:v>
      </x:c>
      <x:c r="D216" t="str">
        <x:v>TV</x:v>
      </x:c>
      <x:c r="E216" t="str">
        <x:v>East</x:v>
      </x:c>
      <x:c r="F216" t="str">
        <x:v>Medium</x:v>
      </x:c>
      <x:c r="G216" t="str">
        <x:v>No Signal</x:v>
      </x:c>
      <x:c r="H216" s="3" t="n">
        <x:v>6.4</x:v>
      </x:c>
      <x:c r="I216" s="3" t="n">
        <x:v>83.8</x:v>
      </x:c>
      <x:c r="J216" s="3" t="n">
        <x:v>2.9</x:v>
      </x:c>
      <x:c r="K216" t="str">
        <x:v>Phone</x:v>
      </x:c>
      <x:c r="L216" t="str">
        <x:v>Tech 5</x:v>
      </x:c>
    </x:row>
    <x:row r="217">
      <x:c r="A217" t="str">
        <x:v>TS-8216</x:v>
      </x:c>
      <x:c r="B217" t="str">
        <x:v>Dec</x:v>
      </x:c>
      <x:c r="C217" t="str">
        <x:v>Open</x:v>
      </x:c>
      <x:c r="D217" t="str">
        <x:v>Mobile</x:v>
      </x:c>
      <x:c r="E217" t="str">
        <x:v>West</x:v>
      </x:c>
      <x:c r="F217" t="str">
        <x:v>High</x:v>
      </x:c>
      <x:c r="G217" t="str">
        <x:v>Installation Delay</x:v>
      </x:c>
      <x:c r="H217" s="3" t="n">
        <x:v>9.7</x:v>
      </x:c>
      <x:c r="I217" s="3" t="n">
        <x:v>93.5</x:v>
      </x:c>
      <x:c r="J217" s="3" t="n">
        <x:v>4</x:v>
      </x:c>
      <x:c r="K217" t="str">
        <x:v>Web</x:v>
      </x:c>
      <x:c r="L217" t="str">
        <x:v>Tech 12</x:v>
      </x:c>
    </x:row>
    <x:row r="218">
      <x:c r="A218" t="str">
        <x:v>TS-8217</x:v>
      </x:c>
      <x:c r="B218" t="str">
        <x:v>Jan</x:v>
      </x:c>
      <x:c r="C218" t="str">
        <x:v>Resolved</x:v>
      </x:c>
      <x:c r="D218" t="str">
        <x:v>Broadband</x:v>
      </x:c>
      <x:c r="E218" t="str">
        <x:v>North</x:v>
      </x:c>
      <x:c r="F218" t="str">
        <x:v>Low</x:v>
      </x:c>
      <x:c r="G218" t="str">
        <x:v>Slow Internet</x:v>
      </x:c>
      <x:c r="H218" s="3" t="n">
        <x:v>9</x:v>
      </x:c>
      <x:c r="I218" s="3" t="n">
        <x:v>87.2</x:v>
      </x:c>
      <x:c r="J218" s="3" t="n">
        <x:v>2.6</x:v>
      </x:c>
      <x:c r="K218" t="str">
        <x:v>App</x:v>
      </x:c>
      <x:c r="L218" t="str">
        <x:v>Tech 1</x:v>
      </x:c>
    </x:row>
    <x:row r="219">
      <x:c r="A219" t="str">
        <x:v>TS-8218</x:v>
      </x:c>
      <x:c r="B219" t="str">
        <x:v>Feb</x:v>
      </x:c>
      <x:c r="C219" t="str">
        <x:v>In Progress</x:v>
      </x:c>
      <x:c r="D219" t="str">
        <x:v>Landline</x:v>
      </x:c>
      <x:c r="E219" t="str">
        <x:v>South</x:v>
      </x:c>
      <x:c r="F219" t="str">
        <x:v>Medium</x:v>
      </x:c>
      <x:c r="G219" t="str">
        <x:v>Service Outage</x:v>
      </x:c>
      <x:c r="H219" s="3" t="n">
        <x:v>10.299999999999999</x:v>
      </x:c>
      <x:c r="I219" s="3" t="n">
        <x:v>88.9</x:v>
      </x:c>
      <x:c r="J219" s="3" t="n">
        <x:v>3.7</x:v>
      </x:c>
      <x:c r="K219" t="str">
        <x:v>Retail</x:v>
      </x:c>
      <x:c r="L219" t="str">
        <x:v>Tech 8</x:v>
      </x:c>
    </x:row>
    <x:row r="220">
      <x:c r="A220" t="str">
        <x:v>TS-8219</x:v>
      </x:c>
      <x:c r="B220" t="str">
        <x:v>Mar</x:v>
      </x:c>
      <x:c r="C220" t="str">
        <x:v>Open</x:v>
      </x:c>
      <x:c r="D220" t="str">
        <x:v>TV</x:v>
      </x:c>
      <x:c r="E220" t="str">
        <x:v>East</x:v>
      </x:c>
      <x:c r="F220" t="str">
        <x:v>High</x:v>
      </x:c>
      <x:c r="G220" t="str">
        <x:v>Dropped Calls</x:v>
      </x:c>
      <x:c r="H220" s="3" t="n">
        <x:v>13.6</x:v>
      </x:c>
      <x:c r="I220" s="3" t="n">
        <x:v>98.6</x:v>
      </x:c>
      <x:c r="J220" s="3" t="n">
        <x:v>4.8</x:v>
      </x:c>
      <x:c r="K220" t="str">
        <x:v>Phone</x:v>
      </x:c>
      <x:c r="L220" t="str">
        <x:v>Tech 15</x:v>
      </x:c>
    </x:row>
    <x:row r="221">
      <x:c r="A221" t="str">
        <x:v>TS-8220</x:v>
      </x:c>
      <x:c r="B221" t="str">
        <x:v>Apr</x:v>
      </x:c>
      <x:c r="C221" t="str">
        <x:v>Resolved</x:v>
      </x:c>
      <x:c r="D221" t="str">
        <x:v>Mobile</x:v>
      </x:c>
      <x:c r="E221" t="str">
        <x:v>West</x:v>
      </x:c>
      <x:c r="F221" t="str">
        <x:v>Low</x:v>
      </x:c>
      <x:c r="G221" t="str">
        <x:v>Billing Error</x:v>
      </x:c>
      <x:c r="H221" s="3" t="n">
        <x:v>12.899999999999999</x:v>
      </x:c>
      <x:c r="I221" s="3" t="n">
        <x:v>92.3</x:v>
      </x:c>
      <x:c r="J221" s="3" t="n">
        <x:v>3.4</x:v>
      </x:c>
      <x:c r="K221" t="str">
        <x:v>Web</x:v>
      </x:c>
      <x:c r="L221" t="str">
        <x:v>Tech 4</x:v>
      </x:c>
    </x:row>
    <x:row r="222">
      <x:c r="A222" t="str">
        <x:v>TS-8221</x:v>
      </x:c>
      <x:c r="B222" t="str">
        <x:v>May</x:v>
      </x:c>
      <x:c r="C222" t="str">
        <x:v>In Progress</x:v>
      </x:c>
      <x:c r="D222" t="str">
        <x:v>Broadband</x:v>
      </x:c>
      <x:c r="E222" t="str">
        <x:v>North</x:v>
      </x:c>
      <x:c r="F222" t="str">
        <x:v>Medium</x:v>
      </x:c>
      <x:c r="G222" t="str">
        <x:v>No Signal</x:v>
      </x:c>
      <x:c r="H222" s="3" t="n">
        <x:v>14.2</x:v>
      </x:c>
      <x:c r="I222" s="3" t="n">
        <x:v>94</x:v>
      </x:c>
      <x:c r="J222" s="3" t="n">
        <x:v>4.5</x:v>
      </x:c>
      <x:c r="K222" t="str">
        <x:v>App</x:v>
      </x:c>
      <x:c r="L222" t="str">
        <x:v>Tech 11</x:v>
      </x:c>
    </x:row>
    <x:row r="223">
      <x:c r="A223" t="str">
        <x:v>TS-8222</x:v>
      </x:c>
      <x:c r="B223" t="str">
        <x:v>Jun</x:v>
      </x:c>
      <x:c r="C223" t="str">
        <x:v>Open</x:v>
      </x:c>
      <x:c r="D223" t="str">
        <x:v>Landline</x:v>
      </x:c>
      <x:c r="E223" t="str">
        <x:v>South</x:v>
      </x:c>
      <x:c r="F223" t="str">
        <x:v>High</x:v>
      </x:c>
      <x:c r="G223" t="str">
        <x:v>Installation Delay</x:v>
      </x:c>
      <x:c r="H223" s="3" t="n">
        <x:v>17.5</x:v>
      </x:c>
      <x:c r="I223" s="3" t="n">
        <x:v>103.7</x:v>
      </x:c>
      <x:c r="J223" s="3" t="n">
        <x:v>3.1</x:v>
      </x:c>
      <x:c r="K223" t="str">
        <x:v>Retail</x:v>
      </x:c>
      <x:c r="L223" t="str">
        <x:v>Tech 18</x:v>
      </x:c>
    </x:row>
    <x:row r="224">
      <x:c r="A224" t="str">
        <x:v>TS-8223</x:v>
      </x:c>
      <x:c r="B224" t="str">
        <x:v>Jul</x:v>
      </x:c>
      <x:c r="C224" t="str">
        <x:v>Resolved</x:v>
      </x:c>
      <x:c r="D224" t="str">
        <x:v>TV</x:v>
      </x:c>
      <x:c r="E224" t="str">
        <x:v>East</x:v>
      </x:c>
      <x:c r="F224" t="str">
        <x:v>Low</x:v>
      </x:c>
      <x:c r="G224" t="str">
        <x:v>Slow Internet</x:v>
      </x:c>
      <x:c r="H224" s="3" t="n">
        <x:v>16.8</x:v>
      </x:c>
      <x:c r="I224" s="3" t="n">
        <x:v>97.4</x:v>
      </x:c>
      <x:c r="J224" s="3" t="n">
        <x:v>4.2</x:v>
      </x:c>
      <x:c r="K224" t="str">
        <x:v>Phone</x:v>
      </x:c>
      <x:c r="L224" t="str">
        <x:v>Tech 7</x:v>
      </x:c>
    </x:row>
    <x:row r="225">
      <x:c r="A225" t="str">
        <x:v>TS-8224</x:v>
      </x:c>
      <x:c r="B225" t="str">
        <x:v>Aug</x:v>
      </x:c>
      <x:c r="C225" t="str">
        <x:v>In Progress</x:v>
      </x:c>
      <x:c r="D225" t="str">
        <x:v>Mobile</x:v>
      </x:c>
      <x:c r="E225" t="str">
        <x:v>West</x:v>
      </x:c>
      <x:c r="F225" t="str">
        <x:v>Medium</x:v>
      </x:c>
      <x:c r="G225" t="str">
        <x:v>Service Outage</x:v>
      </x:c>
      <x:c r="H225" s="3" t="n">
        <x:v>18.099999999999998</x:v>
      </x:c>
      <x:c r="I225" s="3" t="n">
        <x:v>99.1</x:v>
      </x:c>
      <x:c r="J225" s="3" t="n">
        <x:v>2.8</x:v>
      </x:c>
      <x:c r="K225" t="str">
        <x:v>Web</x:v>
      </x:c>
      <x:c r="L225" t="str">
        <x:v>Tech 14</x:v>
      </x:c>
    </x:row>
    <x:row r="226">
      <x:c r="A226" t="str">
        <x:v>TS-8225</x:v>
      </x:c>
      <x:c r="B226" t="str">
        <x:v>Sep</x:v>
      </x:c>
      <x:c r="C226" t="str">
        <x:v>Open</x:v>
      </x:c>
      <x:c r="D226" t="str">
        <x:v>Broadband</x:v>
      </x:c>
      <x:c r="E226" t="str">
        <x:v>North</x:v>
      </x:c>
      <x:c r="F226" t="str">
        <x:v>High</x:v>
      </x:c>
      <x:c r="G226" t="str">
        <x:v>Dropped Calls</x:v>
      </x:c>
      <x:c r="H226" s="3" t="n">
        <x:v>21.4</x:v>
      </x:c>
      <x:c r="I226" s="3" t="n">
        <x:v>108.8</x:v>
      </x:c>
      <x:c r="J226" s="3" t="n">
        <x:v>3.9</x:v>
      </x:c>
      <x:c r="K226" t="str">
        <x:v>App</x:v>
      </x:c>
      <x:c r="L226" t="str">
        <x:v>Tech 3</x:v>
      </x:c>
    </x:row>
    <x:row r="227">
      <x:c r="A227" t="str">
        <x:v>TS-8226</x:v>
      </x:c>
      <x:c r="B227" t="str">
        <x:v>Oct</x:v>
      </x:c>
      <x:c r="C227" t="str">
        <x:v>Resolved</x:v>
      </x:c>
      <x:c r="D227" t="str">
        <x:v>Landline</x:v>
      </x:c>
      <x:c r="E227" t="str">
        <x:v>South</x:v>
      </x:c>
      <x:c r="F227" t="str">
        <x:v>Low</x:v>
      </x:c>
      <x:c r="G227" t="str">
        <x:v>Billing Error</x:v>
      </x:c>
      <x:c r="H227" s="3" t="n">
        <x:v>20.7</x:v>
      </x:c>
      <x:c r="I227" s="3" t="n">
        <x:v>102.5</x:v>
      </x:c>
      <x:c r="J227" s="3" t="n">
        <x:v>2.5</x:v>
      </x:c>
      <x:c r="K227" t="str">
        <x:v>Retail</x:v>
      </x:c>
      <x:c r="L227" t="str">
        <x:v>Tech 10</x:v>
      </x:c>
    </x:row>
    <x:row r="228">
      <x:c r="A228" t="str">
        <x:v>TS-8227</x:v>
      </x:c>
      <x:c r="B228" t="str">
        <x:v>Nov</x:v>
      </x:c>
      <x:c r="C228" t="str">
        <x:v>In Progress</x:v>
      </x:c>
      <x:c r="D228" t="str">
        <x:v>TV</x:v>
      </x:c>
      <x:c r="E228" t="str">
        <x:v>East</x:v>
      </x:c>
      <x:c r="F228" t="str">
        <x:v>Medium</x:v>
      </x:c>
      <x:c r="G228" t="str">
        <x:v>No Signal</x:v>
      </x:c>
      <x:c r="H228" s="3" t="n">
        <x:v>22</x:v>
      </x:c>
      <x:c r="I228" s="3" t="n">
        <x:v>8.2</x:v>
      </x:c>
      <x:c r="J228" s="3" t="n">
        <x:v>3.6</x:v>
      </x:c>
      <x:c r="K228" t="str">
        <x:v>Phone</x:v>
      </x:c>
      <x:c r="L228" t="str">
        <x:v>Tech 17</x:v>
      </x:c>
    </x:row>
    <x:row r="229">
      <x:c r="A229" t="str">
        <x:v>TS-8228</x:v>
      </x:c>
      <x:c r="B229" t="str">
        <x:v>Dec</x:v>
      </x:c>
      <x:c r="C229" t="str">
        <x:v>Open</x:v>
      </x:c>
      <x:c r="D229" t="str">
        <x:v>Mobile</x:v>
      </x:c>
      <x:c r="E229" t="str">
        <x:v>West</x:v>
      </x:c>
      <x:c r="F229" t="str">
        <x:v>High</x:v>
      </x:c>
      <x:c r="G229" t="str">
        <x:v>Installation Delay</x:v>
      </x:c>
      <x:c r="H229" s="3" t="n">
        <x:v>4.3</x:v>
      </x:c>
      <x:c r="I229" s="3" t="n">
        <x:v>17.9</x:v>
      </x:c>
      <x:c r="J229" s="3" t="n">
        <x:v>4.7</x:v>
      </x:c>
      <x:c r="K229" t="str">
        <x:v>Web</x:v>
      </x:c>
      <x:c r="L229" t="str">
        <x:v>Tech 6</x:v>
      </x:c>
    </x:row>
    <x:row r="230">
      <x:c r="A230" t="str">
        <x:v>TS-8229</x:v>
      </x:c>
      <x:c r="B230" t="str">
        <x:v>Jan</x:v>
      </x:c>
      <x:c r="C230" t="str">
        <x:v>Open</x:v>
      </x:c>
      <x:c r="D230" t="str">
        <x:v>Broadband</x:v>
      </x:c>
      <x:c r="E230" t="str">
        <x:v>North</x:v>
      </x:c>
      <x:c r="F230" t="str">
        <x:v>Low</x:v>
      </x:c>
      <x:c r="G230" t="str">
        <x:v>Slow Internet</x:v>
      </x:c>
      <x:c r="H230" s="3" t="n">
        <x:v>3.5999999999999996</x:v>
      </x:c>
      <x:c r="I230" s="3" t="n">
        <x:v>11.6</x:v>
      </x:c>
      <x:c r="J230" s="3" t="n">
        <x:v>3.3</x:v>
      </x:c>
      <x:c r="K230" t="str">
        <x:v>App</x:v>
      </x:c>
      <x:c r="L230" t="str">
        <x:v>Tech 13</x:v>
      </x:c>
    </x:row>
    <x:row r="231">
      <x:c r="A231" t="str">
        <x:v>TS-8230</x:v>
      </x:c>
      <x:c r="B231" t="str">
        <x:v>Feb</x:v>
      </x:c>
      <x:c r="C231" t="str">
        <x:v>Resolved</x:v>
      </x:c>
      <x:c r="D231" t="str">
        <x:v>Landline</x:v>
      </x:c>
      <x:c r="E231" t="str">
        <x:v>South</x:v>
      </x:c>
      <x:c r="F231" t="str">
        <x:v>Medium</x:v>
      </x:c>
      <x:c r="G231" t="str">
        <x:v>Service Outage</x:v>
      </x:c>
      <x:c r="H231" s="3" t="n">
        <x:v>4.9</x:v>
      </x:c>
      <x:c r="I231" s="3" t="n">
        <x:v>13.3</x:v>
      </x:c>
      <x:c r="J231" s="3" t="n">
        <x:v>4.4</x:v>
      </x:c>
      <x:c r="K231" t="str">
        <x:v>Retail</x:v>
      </x:c>
      <x:c r="L231" t="str">
        <x:v>Tech 2</x:v>
      </x:c>
    </x:row>
    <x:row r="232">
      <x:c r="A232" t="str">
        <x:v>TS-8231</x:v>
      </x:c>
      <x:c r="B232" t="str">
        <x:v>Mar</x:v>
      </x:c>
      <x:c r="C232" t="str">
        <x:v>In Progress</x:v>
      </x:c>
      <x:c r="D232" t="str">
        <x:v>TV</x:v>
      </x:c>
      <x:c r="E232" t="str">
        <x:v>East</x:v>
      </x:c>
      <x:c r="F232" t="str">
        <x:v>High</x:v>
      </x:c>
      <x:c r="G232" t="str">
        <x:v>Dropped Calls</x:v>
      </x:c>
      <x:c r="H232" s="3" t="n">
        <x:v>8.2</x:v>
      </x:c>
      <x:c r="I232" s="3" t="n">
        <x:v>23</x:v>
      </x:c>
      <x:c r="J232" s="3" t="n">
        <x:v>3</x:v>
      </x:c>
      <x:c r="K232" t="str">
        <x:v>Phone</x:v>
      </x:c>
      <x:c r="L232" t="str">
        <x:v>Tech 9</x:v>
      </x:c>
    </x:row>
    <x:row r="233">
      <x:c r="A233" t="str">
        <x:v>TS-8232</x:v>
      </x:c>
      <x:c r="B233" t="str">
        <x:v>Apr</x:v>
      </x:c>
      <x:c r="C233" t="str">
        <x:v>Open</x:v>
      </x:c>
      <x:c r="D233" t="str">
        <x:v>Mobile</x:v>
      </x:c>
      <x:c r="E233" t="str">
        <x:v>West</x:v>
      </x:c>
      <x:c r="F233" t="str">
        <x:v>Low</x:v>
      </x:c>
      <x:c r="G233" t="str">
        <x:v>Billing Error</x:v>
      </x:c>
      <x:c r="H233" s="3" t="n">
        <x:v>7.5</x:v>
      </x:c>
      <x:c r="I233" s="3" t="n">
        <x:v>16.7</x:v>
      </x:c>
      <x:c r="J233" s="3" t="n">
        <x:v>4.1</x:v>
      </x:c>
      <x:c r="K233" t="str">
        <x:v>Web</x:v>
      </x:c>
      <x:c r="L233" t="str">
        <x:v>Tech 16</x:v>
      </x:c>
    </x:row>
    <x:row r="234">
      <x:c r="A234" t="str">
        <x:v>TS-8233</x:v>
      </x:c>
      <x:c r="B234" t="str">
        <x:v>May</x:v>
      </x:c>
      <x:c r="C234" t="str">
        <x:v>Resolved</x:v>
      </x:c>
      <x:c r="D234" t="str">
        <x:v>Broadband</x:v>
      </x:c>
      <x:c r="E234" t="str">
        <x:v>North</x:v>
      </x:c>
      <x:c r="F234" t="str">
        <x:v>Medium</x:v>
      </x:c>
      <x:c r="G234" t="str">
        <x:v>No Signal</x:v>
      </x:c>
      <x:c r="H234" s="3" t="n">
        <x:v>8.799999999999999</x:v>
      </x:c>
      <x:c r="I234" s="3" t="n">
        <x:v>18.4</x:v>
      </x:c>
      <x:c r="J234" s="3" t="n">
        <x:v>2.7</x:v>
      </x:c>
      <x:c r="K234" t="str">
        <x:v>App</x:v>
      </x:c>
      <x:c r="L234" t="str">
        <x:v>Tech 5</x:v>
      </x:c>
    </x:row>
    <x:row r="235">
      <x:c r="A235" t="str">
        <x:v>TS-8234</x:v>
      </x:c>
      <x:c r="B235" t="str">
        <x:v>Jun</x:v>
      </x:c>
      <x:c r="C235" t="str">
        <x:v>In Progress</x:v>
      </x:c>
      <x:c r="D235" t="str">
        <x:v>Landline</x:v>
      </x:c>
      <x:c r="E235" t="str">
        <x:v>South</x:v>
      </x:c>
      <x:c r="F235" t="str">
        <x:v>High</x:v>
      </x:c>
      <x:c r="G235" t="str">
        <x:v>Installation Delay</x:v>
      </x:c>
      <x:c r="H235" s="3" t="n">
        <x:v>12.1</x:v>
      </x:c>
      <x:c r="I235" s="3" t="n">
        <x:v>28.1</x:v>
      </x:c>
      <x:c r="J235" s="3" t="n">
        <x:v>3.8</x:v>
      </x:c>
      <x:c r="K235" t="str">
        <x:v>Retail</x:v>
      </x:c>
      <x:c r="L235" t="str">
        <x:v>Tech 12</x:v>
      </x:c>
    </x:row>
    <x:row r="236">
      <x:c r="A236" t="str">
        <x:v>TS-8235</x:v>
      </x:c>
      <x:c r="B236" t="str">
        <x:v>Jul</x:v>
      </x:c>
      <x:c r="C236" t="str">
        <x:v>Open</x:v>
      </x:c>
      <x:c r="D236" t="str">
        <x:v>TV</x:v>
      </x:c>
      <x:c r="E236" t="str">
        <x:v>East</x:v>
      </x:c>
      <x:c r="F236" t="str">
        <x:v>Low</x:v>
      </x:c>
      <x:c r="G236" t="str">
        <x:v>Slow Internet</x:v>
      </x:c>
      <x:c r="H236" s="3" t="n">
        <x:v>11.399999999999999</x:v>
      </x:c>
      <x:c r="I236" s="3" t="n">
        <x:v>21.8</x:v>
      </x:c>
      <x:c r="J236" s="3" t="n">
        <x:v>4.9</x:v>
      </x:c>
      <x:c r="K236" t="str">
        <x:v>Phone</x:v>
      </x:c>
      <x:c r="L236" t="str">
        <x:v>Tech 1</x:v>
      </x:c>
    </x:row>
    <x:row r="237">
      <x:c r="A237" t="str">
        <x:v>TS-8236</x:v>
      </x:c>
      <x:c r="B237" t="str">
        <x:v>Aug</x:v>
      </x:c>
      <x:c r="C237" t="str">
        <x:v>Resolved</x:v>
      </x:c>
      <x:c r="D237" t="str">
        <x:v>Mobile</x:v>
      </x:c>
      <x:c r="E237" t="str">
        <x:v>West</x:v>
      </x:c>
      <x:c r="F237" t="str">
        <x:v>Medium</x:v>
      </x:c>
      <x:c r="G237" t="str">
        <x:v>Service Outage</x:v>
      </x:c>
      <x:c r="H237" s="3" t="n">
        <x:v>12.7</x:v>
      </x:c>
      <x:c r="I237" s="3" t="n">
        <x:v>23.5</x:v>
      </x:c>
      <x:c r="J237" s="3" t="n">
        <x:v>3.5</x:v>
      </x:c>
      <x:c r="K237" t="str">
        <x:v>Web</x:v>
      </x:c>
      <x:c r="L237" t="str">
        <x:v>Tech 8</x:v>
      </x:c>
    </x:row>
    <x:row r="238">
      <x:c r="A238" t="str">
        <x:v>TS-8237</x:v>
      </x:c>
      <x:c r="B238" t="str">
        <x:v>Sep</x:v>
      </x:c>
      <x:c r="C238" t="str">
        <x:v>In Progress</x:v>
      </x:c>
      <x:c r="D238" t="str">
        <x:v>Broadband</x:v>
      </x:c>
      <x:c r="E238" t="str">
        <x:v>North</x:v>
      </x:c>
      <x:c r="F238" t="str">
        <x:v>High</x:v>
      </x:c>
      <x:c r="G238" t="str">
        <x:v>Dropped Calls</x:v>
      </x:c>
      <x:c r="H238" s="3" t="n">
        <x:v>16</x:v>
      </x:c>
      <x:c r="I238" s="3" t="n">
        <x:v>33.2</x:v>
      </x:c>
      <x:c r="J238" s="3" t="n">
        <x:v>4.6</x:v>
      </x:c>
      <x:c r="K238" t="str">
        <x:v>App</x:v>
      </x:c>
      <x:c r="L238" t="str">
        <x:v>Tech 15</x:v>
      </x:c>
    </x:row>
    <x:row r="239">
      <x:c r="A239" t="str">
        <x:v>TS-8238</x:v>
      </x:c>
      <x:c r="B239" t="str">
        <x:v>Oct</x:v>
      </x:c>
      <x:c r="C239" t="str">
        <x:v>Open</x:v>
      </x:c>
      <x:c r="D239" t="str">
        <x:v>Landline</x:v>
      </x:c>
      <x:c r="E239" t="str">
        <x:v>South</x:v>
      </x:c>
      <x:c r="F239" t="str">
        <x:v>Low</x:v>
      </x:c>
      <x:c r="G239" t="str">
        <x:v>Billing Error</x:v>
      </x:c>
      <x:c r="H239" s="3" t="n">
        <x:v>15.299999999999999</x:v>
      </x:c>
      <x:c r="I239" s="3" t="n">
        <x:v>26.9</x:v>
      </x:c>
      <x:c r="J239" s="3" t="n">
        <x:v>3.2</x:v>
      </x:c>
      <x:c r="K239" t="str">
        <x:v>Retail</x:v>
      </x:c>
      <x:c r="L239" t="str">
        <x:v>Tech 4</x:v>
      </x:c>
    </x:row>
    <x:row r="240">
      <x:c r="A240" t="str">
        <x:v>TS-8239</x:v>
      </x:c>
      <x:c r="B240" t="str">
        <x:v>Nov</x:v>
      </x:c>
      <x:c r="C240" t="str">
        <x:v>Resolved</x:v>
      </x:c>
      <x:c r="D240" t="str">
        <x:v>TV</x:v>
      </x:c>
      <x:c r="E240" t="str">
        <x:v>East</x:v>
      </x:c>
      <x:c r="F240" t="str">
        <x:v>Medium</x:v>
      </x:c>
      <x:c r="G240" t="str">
        <x:v>No Signal</x:v>
      </x:c>
      <x:c r="H240" s="3" t="n">
        <x:v>16.6</x:v>
      </x:c>
      <x:c r="I240" s="3" t="n">
        <x:v>28.6</x:v>
      </x:c>
      <x:c r="J240" s="3" t="n">
        <x:v>4.3</x:v>
      </x:c>
      <x:c r="K240" t="str">
        <x:v>Phone</x:v>
      </x:c>
      <x:c r="L240" t="str">
        <x:v>Tech 11</x:v>
      </x:c>
    </x:row>
    <x:row r="241">
      <x:c r="A241" t="str">
        <x:v>TS-8240</x:v>
      </x:c>
      <x:c r="B241" t="str">
        <x:v>Dec</x:v>
      </x:c>
      <x:c r="C241" t="str">
        <x:v>In Progress</x:v>
      </x:c>
      <x:c r="D241" t="str">
        <x:v>Mobile</x:v>
      </x:c>
      <x:c r="E241" t="str">
        <x:v>West</x:v>
      </x:c>
      <x:c r="F241" t="str">
        <x:v>High</x:v>
      </x:c>
      <x:c r="G241" t="str">
        <x:v>Installation Delay</x:v>
      </x:c>
      <x:c r="H241" s="3" t="n">
        <x:v>19.9</x:v>
      </x:c>
      <x:c r="I241" s="3" t="n">
        <x:v>38.3</x:v>
      </x:c>
      <x:c r="J241" s="3" t="n">
        <x:v>2.9</x:v>
      </x:c>
      <x:c r="K241" t="str">
        <x:v>Web</x:v>
      </x:c>
      <x:c r="L241" t="str">
        <x:v>Tech 18</x:v>
      </x:c>
    </x:row>
    <x:row r="242">
      <x:c r="A242" t="str">
        <x:v>TS-8241</x:v>
      </x:c>
      <x:c r="B242" t="str">
        <x:v>Jan</x:v>
      </x:c>
      <x:c r="C242" t="str">
        <x:v>Open</x:v>
      </x:c>
      <x:c r="D242" t="str">
        <x:v>Broadband</x:v>
      </x:c>
      <x:c r="E242" t="str">
        <x:v>North</x:v>
      </x:c>
      <x:c r="F242" t="str">
        <x:v>Low</x:v>
      </x:c>
      <x:c r="G242" t="str">
        <x:v>Slow Internet</x:v>
      </x:c>
      <x:c r="H242" s="3" t="n">
        <x:v>19.2</x:v>
      </x:c>
      <x:c r="I242" s="3" t="n">
        <x:v>32</x:v>
      </x:c>
      <x:c r="J242" s="3" t="n">
        <x:v>4</x:v>
      </x:c>
      <x:c r="K242" t="str">
        <x:v>App</x:v>
      </x:c>
      <x:c r="L242" t="str">
        <x:v>Tech 7</x:v>
      </x:c>
    </x:row>
    <x:row r="243">
      <x:c r="A243" t="str">
        <x:v>TS-8242</x:v>
      </x:c>
      <x:c r="B243" t="str">
        <x:v>Feb</x:v>
      </x:c>
      <x:c r="C243" t="str">
        <x:v>Resolved</x:v>
      </x:c>
      <x:c r="D243" t="str">
        <x:v>Landline</x:v>
      </x:c>
      <x:c r="E243" t="str">
        <x:v>South</x:v>
      </x:c>
      <x:c r="F243" t="str">
        <x:v>Medium</x:v>
      </x:c>
      <x:c r="G243" t="str">
        <x:v>Service Outage</x:v>
      </x:c>
      <x:c r="H243" s="3" t="n">
        <x:v>20.5</x:v>
      </x:c>
      <x:c r="I243" s="3" t="n">
        <x:v>33.7</x:v>
      </x:c>
      <x:c r="J243" s="3" t="n">
        <x:v>2.6</x:v>
      </x:c>
      <x:c r="K243" t="str">
        <x:v>Retail</x:v>
      </x:c>
      <x:c r="L243" t="str">
        <x:v>Tech 14</x:v>
      </x:c>
    </x:row>
    <x:row r="244">
      <x:c r="A244" t="str">
        <x:v>TS-8243</x:v>
      </x:c>
      <x:c r="B244" t="str">
        <x:v>Mar</x:v>
      </x:c>
      <x:c r="C244" t="str">
        <x:v>In Progress</x:v>
      </x:c>
      <x:c r="D244" t="str">
        <x:v>TV</x:v>
      </x:c>
      <x:c r="E244" t="str">
        <x:v>East</x:v>
      </x:c>
      <x:c r="F244" t="str">
        <x:v>High</x:v>
      </x:c>
      <x:c r="G244" t="str">
        <x:v>Dropped Calls</x:v>
      </x:c>
      <x:c r="H244" s="3" t="n">
        <x:v>23.8</x:v>
      </x:c>
      <x:c r="I244" s="3" t="n">
        <x:v>43.4</x:v>
      </x:c>
      <x:c r="J244" s="3" t="n">
        <x:v>3.7</x:v>
      </x:c>
      <x:c r="K244" t="str">
        <x:v>Phone</x:v>
      </x:c>
      <x:c r="L244" t="str">
        <x:v>Tech 3</x:v>
      </x:c>
    </x:row>
    <x:row r="245">
      <x:c r="A245" t="str">
        <x:v>TS-8244</x:v>
      </x:c>
      <x:c r="B245" t="str">
        <x:v>Apr</x:v>
      </x:c>
      <x:c r="C245" t="str">
        <x:v>Open</x:v>
      </x:c>
      <x:c r="D245" t="str">
        <x:v>Mobile</x:v>
      </x:c>
      <x:c r="E245" t="str">
        <x:v>West</x:v>
      </x:c>
      <x:c r="F245" t="str">
        <x:v>Low</x:v>
      </x:c>
      <x:c r="G245" t="str">
        <x:v>Billing Error</x:v>
      </x:c>
      <x:c r="H245" s="3" t="n">
        <x:v>2.1</x:v>
      </x:c>
      <x:c r="I245" s="3" t="n">
        <x:v>37.1</x:v>
      </x:c>
      <x:c r="J245" s="3" t="n">
        <x:v>4.8</x:v>
      </x:c>
      <x:c r="K245" t="str">
        <x:v>Web</x:v>
      </x:c>
      <x:c r="L245" t="str">
        <x:v>Tech 10</x:v>
      </x:c>
    </x:row>
    <x:row r="246">
      <x:c r="A246" t="str">
        <x:v>TS-8245</x:v>
      </x:c>
      <x:c r="B246" t="str">
        <x:v>May</x:v>
      </x:c>
      <x:c r="C246" t="str">
        <x:v>Resolved</x:v>
      </x:c>
      <x:c r="D246" t="str">
        <x:v>Broadband</x:v>
      </x:c>
      <x:c r="E246" t="str">
        <x:v>North</x:v>
      </x:c>
      <x:c r="F246" t="str">
        <x:v>Medium</x:v>
      </x:c>
      <x:c r="G246" t="str">
        <x:v>No Signal</x:v>
      </x:c>
      <x:c r="H246" s="3" t="n">
        <x:v>3.4000000000000004</x:v>
      </x:c>
      <x:c r="I246" s="3" t="n">
        <x:v>38.8</x:v>
      </x:c>
      <x:c r="J246" s="3" t="n">
        <x:v>3.4</x:v>
      </x:c>
      <x:c r="K246" t="str">
        <x:v>App</x:v>
      </x:c>
      <x:c r="L246" t="str">
        <x:v>Tech 17</x:v>
      </x:c>
    </x:row>
    <x:row r="247">
      <x:c r="A247" t="str">
        <x:v>TS-8246</x:v>
      </x:c>
      <x:c r="B247" t="str">
        <x:v>Jun</x:v>
      </x:c>
      <x:c r="C247" t="str">
        <x:v>In Progress</x:v>
      </x:c>
      <x:c r="D247" t="str">
        <x:v>Landline</x:v>
      </x:c>
      <x:c r="E247" t="str">
        <x:v>South</x:v>
      </x:c>
      <x:c r="F247" t="str">
        <x:v>High</x:v>
      </x:c>
      <x:c r="G247" t="str">
        <x:v>Installation Delay</x:v>
      </x:c>
      <x:c r="H247" s="3" t="n">
        <x:v>6.7</x:v>
      </x:c>
      <x:c r="I247" s="3" t="n">
        <x:v>48.5</x:v>
      </x:c>
      <x:c r="J247" s="3" t="n">
        <x:v>4.5</x:v>
      </x:c>
      <x:c r="K247" t="str">
        <x:v>Retail</x:v>
      </x:c>
      <x:c r="L247" t="str">
        <x:v>Tech 6</x:v>
      </x:c>
    </x:row>
    <x:row r="248">
      <x:c r="A248" t="str">
        <x:v>TS-8247</x:v>
      </x:c>
      <x:c r="B248" t="str">
        <x:v>Jul</x:v>
      </x:c>
      <x:c r="C248" t="str">
        <x:v>Open</x:v>
      </x:c>
      <x:c r="D248" t="str">
        <x:v>TV</x:v>
      </x:c>
      <x:c r="E248" t="str">
        <x:v>East</x:v>
      </x:c>
      <x:c r="F248" t="str">
        <x:v>Low</x:v>
      </x:c>
      <x:c r="G248" t="str">
        <x:v>Slow Internet</x:v>
      </x:c>
      <x:c r="H248" s="3" t="n">
        <x:v>6</x:v>
      </x:c>
      <x:c r="I248" s="3" t="n">
        <x:v>42.2</x:v>
      </x:c>
      <x:c r="J248" s="3" t="n">
        <x:v>3.1</x:v>
      </x:c>
      <x:c r="K248" t="str">
        <x:v>Phone</x:v>
      </x:c>
      <x:c r="L248" t="str">
        <x:v>Tech 13</x:v>
      </x:c>
    </x:row>
    <x:row r="249">
      <x:c r="A249" t="str">
        <x:v>TS-8248</x:v>
      </x:c>
      <x:c r="B249" t="str">
        <x:v>Aug</x:v>
      </x:c>
      <x:c r="C249" t="str">
        <x:v>Open</x:v>
      </x:c>
      <x:c r="D249" t="str">
        <x:v>Mobile</x:v>
      </x:c>
      <x:c r="E249" t="str">
        <x:v>West</x:v>
      </x:c>
      <x:c r="F249" t="str">
        <x:v>Medium</x:v>
      </x:c>
      <x:c r="G249" t="str">
        <x:v>Service Outage</x:v>
      </x:c>
      <x:c r="H249" s="3" t="n">
        <x:v>7.3</x:v>
      </x:c>
      <x:c r="I249" s="3" t="n">
        <x:v>43.9</x:v>
      </x:c>
      <x:c r="J249" s="3" t="n">
        <x:v>4.2</x:v>
      </x:c>
      <x:c r="K249" t="str">
        <x:v>Web</x:v>
      </x:c>
      <x:c r="L249" t="str">
        <x:v>Tech 2</x:v>
      </x:c>
    </x:row>
    <x:row r="250">
      <x:c r="A250" t="str">
        <x:v>TS-8249</x:v>
      </x:c>
      <x:c r="B250" t="str">
        <x:v>Sep</x:v>
      </x:c>
      <x:c r="C250" t="str">
        <x:v>Resolved</x:v>
      </x:c>
      <x:c r="D250" t="str">
        <x:v>Broadband</x:v>
      </x:c>
      <x:c r="E250" t="str">
        <x:v>North</x:v>
      </x:c>
      <x:c r="F250" t="str">
        <x:v>High</x:v>
      </x:c>
      <x:c r="G250" t="str">
        <x:v>Dropped Calls</x:v>
      </x:c>
      <x:c r="H250" s="3" t="n">
        <x:v>10.6</x:v>
      </x:c>
      <x:c r="I250" s="3" t="n">
        <x:v>53.6</x:v>
      </x:c>
      <x:c r="J250" s="3" t="n">
        <x:v>2.8</x:v>
      </x:c>
      <x:c r="K250" t="str">
        <x:v>App</x:v>
      </x:c>
      <x:c r="L250" t="str">
        <x:v>Tech 9</x:v>
      </x:c>
    </x:row>
    <x:row r="251">
      <x:c r="A251" t="str">
        <x:v>TS-8250</x:v>
      </x:c>
      <x:c r="B251" t="str">
        <x:v>Oct</x:v>
      </x:c>
      <x:c r="C251" t="str">
        <x:v>In Progress</x:v>
      </x:c>
      <x:c r="D251" t="str">
        <x:v>Landline</x:v>
      </x:c>
      <x:c r="E251" t="str">
        <x:v>South</x:v>
      </x:c>
      <x:c r="F251" t="str">
        <x:v>Low</x:v>
      </x:c>
      <x:c r="G251" t="str">
        <x:v>Billing Error</x:v>
      </x:c>
      <x:c r="H251" s="3" t="n">
        <x:v>9.899999999999999</x:v>
      </x:c>
      <x:c r="I251" s="3" t="n">
        <x:v>47.3</x:v>
      </x:c>
      <x:c r="J251" s="3" t="n">
        <x:v>3.9</x:v>
      </x:c>
      <x:c r="K251" t="str">
        <x:v>Retail</x:v>
      </x:c>
      <x:c r="L251" t="str">
        <x:v>Tech 16</x:v>
      </x:c>
    </x:row>
    <x:row r="252">
      <x:c r="A252" t="str">
        <x:v>TS-8251</x:v>
      </x:c>
      <x:c r="B252" t="str">
        <x:v>Nov</x:v>
      </x:c>
      <x:c r="C252" t="str">
        <x:v>Open</x:v>
      </x:c>
      <x:c r="D252" t="str">
        <x:v>TV</x:v>
      </x:c>
      <x:c r="E252" t="str">
        <x:v>East</x:v>
      </x:c>
      <x:c r="F252" t="str">
        <x:v>Medium</x:v>
      </x:c>
      <x:c r="G252" t="str">
        <x:v>No Signal</x:v>
      </x:c>
      <x:c r="H252" s="3" t="n">
        <x:v>11.2</x:v>
      </x:c>
      <x:c r="I252" s="3" t="n">
        <x:v>49</x:v>
      </x:c>
      <x:c r="J252" s="3" t="n">
        <x:v>2.5</x:v>
      </x:c>
      <x:c r="K252" t="str">
        <x:v>Phone</x:v>
      </x:c>
      <x:c r="L252" t="str">
        <x:v>Tech 5</x:v>
      </x:c>
    </x:row>
    <x:row r="253">
      <x:c r="A253" t="str">
        <x:v>TS-8252</x:v>
      </x:c>
      <x:c r="B253" t="str">
        <x:v>Dec</x:v>
      </x:c>
      <x:c r="C253" t="str">
        <x:v>Resolved</x:v>
      </x:c>
      <x:c r="D253" t="str">
        <x:v>Mobile</x:v>
      </x:c>
      <x:c r="E253" t="str">
        <x:v>West</x:v>
      </x:c>
      <x:c r="F253" t="str">
        <x:v>High</x:v>
      </x:c>
      <x:c r="G253" t="str">
        <x:v>Installation Delay</x:v>
      </x:c>
      <x:c r="H253" s="3" t="n">
        <x:v>14.5</x:v>
      </x:c>
      <x:c r="I253" s="3" t="n">
        <x:v>58.7</x:v>
      </x:c>
      <x:c r="J253" s="3" t="n">
        <x:v>3.6</x:v>
      </x:c>
      <x:c r="K253" t="str">
        <x:v>Web</x:v>
      </x:c>
      <x:c r="L253" t="str">
        <x:v>Tech 12</x:v>
      </x:c>
    </x:row>
    <x:row r="254">
      <x:c r="A254" t="str">
        <x:v>TS-8253</x:v>
      </x:c>
      <x:c r="B254" t="str">
        <x:v>Jan</x:v>
      </x:c>
      <x:c r="C254" t="str">
        <x:v>In Progress</x:v>
      </x:c>
      <x:c r="D254" t="str">
        <x:v>Broadband</x:v>
      </x:c>
      <x:c r="E254" t="str">
        <x:v>North</x:v>
      </x:c>
      <x:c r="F254" t="str">
        <x:v>Low</x:v>
      </x:c>
      <x:c r="G254" t="str">
        <x:v>Slow Internet</x:v>
      </x:c>
      <x:c r="H254" s="3" t="n">
        <x:v>13.799999999999999</x:v>
      </x:c>
      <x:c r="I254" s="3" t="n">
        <x:v>52.4</x:v>
      </x:c>
      <x:c r="J254" s="3" t="n">
        <x:v>4.7</x:v>
      </x:c>
      <x:c r="K254" t="str">
        <x:v>App</x:v>
      </x:c>
      <x:c r="L254" t="str">
        <x:v>Tech 1</x:v>
      </x:c>
    </x:row>
    <x:row r="255">
      <x:c r="A255" t="str">
        <x:v>TS-8254</x:v>
      </x:c>
      <x:c r="B255" t="str">
        <x:v>Feb</x:v>
      </x:c>
      <x:c r="C255" t="str">
        <x:v>Open</x:v>
      </x:c>
      <x:c r="D255" t="str">
        <x:v>Landline</x:v>
      </x:c>
      <x:c r="E255" t="str">
        <x:v>South</x:v>
      </x:c>
      <x:c r="F255" t="str">
        <x:v>Medium</x:v>
      </x:c>
      <x:c r="G255" t="str">
        <x:v>Service Outage</x:v>
      </x:c>
      <x:c r="H255" s="3" t="n">
        <x:v>15.1</x:v>
      </x:c>
      <x:c r="I255" s="3" t="n">
        <x:v>54.1</x:v>
      </x:c>
      <x:c r="J255" s="3" t="n">
        <x:v>3.3</x:v>
      </x:c>
      <x:c r="K255" t="str">
        <x:v>Retail</x:v>
      </x:c>
      <x:c r="L255" t="str">
        <x:v>Tech 8</x:v>
      </x:c>
    </x:row>
    <x:row r="256">
      <x:c r="A256" t="str">
        <x:v>TS-8255</x:v>
      </x:c>
      <x:c r="B256" t="str">
        <x:v>Mar</x:v>
      </x:c>
      <x:c r="C256" t="str">
        <x:v>Resolved</x:v>
      </x:c>
      <x:c r="D256" t="str">
        <x:v>TV</x:v>
      </x:c>
      <x:c r="E256" t="str">
        <x:v>East</x:v>
      </x:c>
      <x:c r="F256" t="str">
        <x:v>High</x:v>
      </x:c>
      <x:c r="G256" t="str">
        <x:v>Dropped Calls</x:v>
      </x:c>
      <x:c r="H256" s="3" t="n">
        <x:v>18.4</x:v>
      </x:c>
      <x:c r="I256" s="3" t="n">
        <x:v>63.8</x:v>
      </x:c>
      <x:c r="J256" s="3" t="n">
        <x:v>4.4</x:v>
      </x:c>
      <x:c r="K256" t="str">
        <x:v>Phone</x:v>
      </x:c>
      <x:c r="L256" t="str">
        <x:v>Tech 15</x:v>
      </x:c>
    </x:row>
    <x:row r="257">
      <x:c r="A257" t="str">
        <x:v>TS-8256</x:v>
      </x:c>
      <x:c r="B257" t="str">
        <x:v>Apr</x:v>
      </x:c>
      <x:c r="C257" t="str">
        <x:v>In Progress</x:v>
      </x:c>
      <x:c r="D257" t="str">
        <x:v>Mobile</x:v>
      </x:c>
      <x:c r="E257" t="str">
        <x:v>West</x:v>
      </x:c>
      <x:c r="F257" t="str">
        <x:v>Low</x:v>
      </x:c>
      <x:c r="G257" t="str">
        <x:v>Billing Error</x:v>
      </x:c>
      <x:c r="H257" s="3" t="n">
        <x:v>17.7</x:v>
      </x:c>
      <x:c r="I257" s="3" t="n">
        <x:v>57.5</x:v>
      </x:c>
      <x:c r="J257" s="3" t="n">
        <x:v>3</x:v>
      </x:c>
      <x:c r="K257" t="str">
        <x:v>Web</x:v>
      </x:c>
      <x:c r="L257" t="str">
        <x:v>Tech 4</x:v>
      </x:c>
    </x:row>
    <x:row r="258">
      <x:c r="A258" t="str">
        <x:v>TS-8257</x:v>
      </x:c>
      <x:c r="B258" t="str">
        <x:v>May</x:v>
      </x:c>
      <x:c r="C258" t="str">
        <x:v>Open</x:v>
      </x:c>
      <x:c r="D258" t="str">
        <x:v>Broadband</x:v>
      </x:c>
      <x:c r="E258" t="str">
        <x:v>North</x:v>
      </x:c>
      <x:c r="F258" t="str">
        <x:v>Medium</x:v>
      </x:c>
      <x:c r="G258" t="str">
        <x:v>No Signal</x:v>
      </x:c>
      <x:c r="H258" s="3" t="n">
        <x:v>19</x:v>
      </x:c>
      <x:c r="I258" s="3" t="n">
        <x:v>59.2</x:v>
      </x:c>
      <x:c r="J258" s="3" t="n">
        <x:v>4.1</x:v>
      </x:c>
      <x:c r="K258" t="str">
        <x:v>App</x:v>
      </x:c>
      <x:c r="L258" t="str">
        <x:v>Tech 11</x:v>
      </x:c>
    </x:row>
    <x:row r="259">
      <x:c r="A259" t="str">
        <x:v>TS-8258</x:v>
      </x:c>
      <x:c r="B259" t="str">
        <x:v>Jun</x:v>
      </x:c>
      <x:c r="C259" t="str">
        <x:v>Resolved</x:v>
      </x:c>
      <x:c r="D259" t="str">
        <x:v>Landline</x:v>
      </x:c>
      <x:c r="E259" t="str">
        <x:v>South</x:v>
      </x:c>
      <x:c r="F259" t="str">
        <x:v>High</x:v>
      </x:c>
      <x:c r="G259" t="str">
        <x:v>Installation Delay</x:v>
      </x:c>
      <x:c r="H259" s="3" t="n">
        <x:v>22.3</x:v>
      </x:c>
      <x:c r="I259" s="3" t="n">
        <x:v>68.9</x:v>
      </x:c>
      <x:c r="J259" s="3" t="n">
        <x:v>2.7</x:v>
      </x:c>
      <x:c r="K259" t="str">
        <x:v>Retail</x:v>
      </x:c>
      <x:c r="L259" t="str">
        <x:v>Tech 18</x:v>
      </x:c>
    </x:row>
    <x:row r="260">
      <x:c r="A260" t="str">
        <x:v>TS-8259</x:v>
      </x:c>
      <x:c r="B260" t="str">
        <x:v>Jul</x:v>
      </x:c>
      <x:c r="C260" t="str">
        <x:v>In Progress</x:v>
      </x:c>
      <x:c r="D260" t="str">
        <x:v>TV</x:v>
      </x:c>
      <x:c r="E260" t="str">
        <x:v>East</x:v>
      </x:c>
      <x:c r="F260" t="str">
        <x:v>Low</x:v>
      </x:c>
      <x:c r="G260" t="str">
        <x:v>Slow Internet</x:v>
      </x:c>
      <x:c r="H260" s="3" t="n">
        <x:v>21.599999999999998</x:v>
      </x:c>
      <x:c r="I260" s="3" t="n">
        <x:v>62.6</x:v>
      </x:c>
      <x:c r="J260" s="3" t="n">
        <x:v>3.8</x:v>
      </x:c>
      <x:c r="K260" t="str">
        <x:v>Phone</x:v>
      </x:c>
      <x:c r="L260" t="str">
        <x:v>Tech 7</x:v>
      </x:c>
    </x:row>
    <x:row r="261">
      <x:c r="A261" t="str">
        <x:v>TS-8260</x:v>
      </x:c>
      <x:c r="B261" t="str">
        <x:v>Aug</x:v>
      </x:c>
      <x:c r="C261" t="str">
        <x:v>Open</x:v>
      </x:c>
      <x:c r="D261" t="str">
        <x:v>Mobile</x:v>
      </x:c>
      <x:c r="E261" t="str">
        <x:v>West</x:v>
      </x:c>
      <x:c r="F261" t="str">
        <x:v>Medium</x:v>
      </x:c>
      <x:c r="G261" t="str">
        <x:v>Service Outage</x:v>
      </x:c>
      <x:c r="H261" s="3" t="n">
        <x:v>1.9</x:v>
      </x:c>
      <x:c r="I261" s="3" t="n">
        <x:v>64.3</x:v>
      </x:c>
      <x:c r="J261" s="3" t="n">
        <x:v>4.9</x:v>
      </x:c>
      <x:c r="K261" t="str">
        <x:v>Web</x:v>
      </x:c>
      <x:c r="L261" t="str">
        <x:v>Tech 14</x:v>
      </x:c>
    </x:row>
    <x:row r="262">
      <x:c r="A262" t="str">
        <x:v>TS-8261</x:v>
      </x:c>
      <x:c r="B262" t="str">
        <x:v>Sep</x:v>
      </x:c>
      <x:c r="C262" t="str">
        <x:v>Resolved</x:v>
      </x:c>
      <x:c r="D262" t="str">
        <x:v>Broadband</x:v>
      </x:c>
      <x:c r="E262" t="str">
        <x:v>North</x:v>
      </x:c>
      <x:c r="F262" t="str">
        <x:v>High</x:v>
      </x:c>
      <x:c r="G262" t="str">
        <x:v>Dropped Calls</x:v>
      </x:c>
      <x:c r="H262" s="3" t="n">
        <x:v>5.2</x:v>
      </x:c>
      <x:c r="I262" s="3" t="n">
        <x:v>74</x:v>
      </x:c>
      <x:c r="J262" s="3" t="n">
        <x:v>3.5</x:v>
      </x:c>
      <x:c r="K262" t="str">
        <x:v>App</x:v>
      </x:c>
      <x:c r="L262" t="str">
        <x:v>Tech 3</x:v>
      </x:c>
    </x:row>
    <x:row r="263">
      <x:c r="A263" t="str">
        <x:v>TS-8262</x:v>
      </x:c>
      <x:c r="B263" t="str">
        <x:v>Oct</x:v>
      </x:c>
      <x:c r="C263" t="str">
        <x:v>In Progress</x:v>
      </x:c>
      <x:c r="D263" t="str">
        <x:v>Landline</x:v>
      </x:c>
      <x:c r="E263" t="str">
        <x:v>South</x:v>
      </x:c>
      <x:c r="F263" t="str">
        <x:v>Low</x:v>
      </x:c>
      <x:c r="G263" t="str">
        <x:v>Billing Error</x:v>
      </x:c>
      <x:c r="H263" s="3" t="n">
        <x:v>4.5</x:v>
      </x:c>
      <x:c r="I263" s="3" t="n">
        <x:v>67.7</x:v>
      </x:c>
      <x:c r="J263" s="3" t="n">
        <x:v>4.6</x:v>
      </x:c>
      <x:c r="K263" t="str">
        <x:v>Retail</x:v>
      </x:c>
      <x:c r="L263" t="str">
        <x:v>Tech 10</x:v>
      </x:c>
    </x:row>
    <x:row r="264">
      <x:c r="A264" t="str">
        <x:v>TS-8263</x:v>
      </x:c>
      <x:c r="B264" t="str">
        <x:v>Nov</x:v>
      </x:c>
      <x:c r="C264" t="str">
        <x:v>Open</x:v>
      </x:c>
      <x:c r="D264" t="str">
        <x:v>TV</x:v>
      </x:c>
      <x:c r="E264" t="str">
        <x:v>East</x:v>
      </x:c>
      <x:c r="F264" t="str">
        <x:v>Medium</x:v>
      </x:c>
      <x:c r="G264" t="str">
        <x:v>No Signal</x:v>
      </x:c>
      <x:c r="H264" s="3" t="n">
        <x:v>5.8</x:v>
      </x:c>
      <x:c r="I264" s="3" t="n">
        <x:v>69.4</x:v>
      </x:c>
      <x:c r="J264" s="3" t="n">
        <x:v>3.2</x:v>
      </x:c>
      <x:c r="K264" t="str">
        <x:v>Phone</x:v>
      </x:c>
      <x:c r="L264" t="str">
        <x:v>Tech 17</x:v>
      </x:c>
    </x:row>
    <x:row r="265">
      <x:c r="A265" t="str">
        <x:v>TS-8264</x:v>
      </x:c>
      <x:c r="B265" t="str">
        <x:v>Dec</x:v>
      </x:c>
      <x:c r="C265" t="str">
        <x:v>Resolved</x:v>
      </x:c>
      <x:c r="D265" t="str">
        <x:v>Mobile</x:v>
      </x:c>
      <x:c r="E265" t="str">
        <x:v>West</x:v>
      </x:c>
      <x:c r="F265" t="str">
        <x:v>High</x:v>
      </x:c>
      <x:c r="G265" t="str">
        <x:v>Installation Delay</x:v>
      </x:c>
      <x:c r="H265" s="3" t="n">
        <x:v>9.100000000000001</x:v>
      </x:c>
      <x:c r="I265" s="3" t="n">
        <x:v>79.1</x:v>
      </x:c>
      <x:c r="J265" s="3" t="n">
        <x:v>4.3</x:v>
      </x:c>
      <x:c r="K265" t="str">
        <x:v>Web</x:v>
      </x:c>
      <x:c r="L265" t="str">
        <x:v>Tech 6</x:v>
      </x:c>
    </x:row>
    <x:row r="266">
      <x:c r="A266" t="str">
        <x:v>TS-8265</x:v>
      </x:c>
      <x:c r="B266" t="str">
        <x:v>Jan</x:v>
      </x:c>
      <x:c r="C266" t="str">
        <x:v>In Progress</x:v>
      </x:c>
      <x:c r="D266" t="str">
        <x:v>Broadband</x:v>
      </x:c>
      <x:c r="E266" t="str">
        <x:v>North</x:v>
      </x:c>
      <x:c r="F266" t="str">
        <x:v>Low</x:v>
      </x:c>
      <x:c r="G266" t="str">
        <x:v>Slow Internet</x:v>
      </x:c>
      <x:c r="H266" s="3" t="n">
        <x:v>8.4</x:v>
      </x:c>
      <x:c r="I266" s="3" t="n">
        <x:v>72.8</x:v>
      </x:c>
      <x:c r="J266" s="3" t="n">
        <x:v>2.9</x:v>
      </x:c>
      <x:c r="K266" t="str">
        <x:v>App</x:v>
      </x:c>
      <x:c r="L266" t="str">
        <x:v>Tech 13</x:v>
      </x:c>
    </x:row>
    <x:row r="267">
      <x:c r="A267" t="str">
        <x:v>TS-8266</x:v>
      </x:c>
      <x:c r="B267" t="str">
        <x:v>Feb</x:v>
      </x:c>
      <x:c r="C267" t="str">
        <x:v>Open</x:v>
      </x:c>
      <x:c r="D267" t="str">
        <x:v>Landline</x:v>
      </x:c>
      <x:c r="E267" t="str">
        <x:v>South</x:v>
      </x:c>
      <x:c r="F267" t="str">
        <x:v>Medium</x:v>
      </x:c>
      <x:c r="G267" t="str">
        <x:v>Service Outage</x:v>
      </x:c>
      <x:c r="H267" s="3" t="n">
        <x:v>9.7</x:v>
      </x:c>
      <x:c r="I267" s="3" t="n">
        <x:v>74.5</x:v>
      </x:c>
      <x:c r="J267" s="3" t="n">
        <x:v>4</x:v>
      </x:c>
      <x:c r="K267" t="str">
        <x:v>Retail</x:v>
      </x:c>
      <x:c r="L267" t="str">
        <x:v>Tech 2</x:v>
      </x:c>
    </x:row>
    <x:row r="268">
      <x:c r="A268" t="str">
        <x:v>TS-8267</x:v>
      </x:c>
      <x:c r="B268" t="str">
        <x:v>Mar</x:v>
      </x:c>
      <x:c r="C268" t="str">
        <x:v>Open</x:v>
      </x:c>
      <x:c r="D268" t="str">
        <x:v>TV</x:v>
      </x:c>
      <x:c r="E268" t="str">
        <x:v>East</x:v>
      </x:c>
      <x:c r="F268" t="str">
        <x:v>High</x:v>
      </x:c>
      <x:c r="G268" t="str">
        <x:v>Dropped Calls</x:v>
      </x:c>
      <x:c r="H268" s="3" t="n">
        <x:v>13</x:v>
      </x:c>
      <x:c r="I268" s="3" t="n">
        <x:v>84.2</x:v>
      </x:c>
      <x:c r="J268" s="3" t="n">
        <x:v>2.6</x:v>
      </x:c>
      <x:c r="K268" t="str">
        <x:v>Phone</x:v>
      </x:c>
      <x:c r="L268" t="str">
        <x:v>Tech 9</x:v>
      </x:c>
    </x:row>
    <x:row r="269">
      <x:c r="A269" t="str">
        <x:v>TS-8268</x:v>
      </x:c>
      <x:c r="B269" t="str">
        <x:v>Apr</x:v>
      </x:c>
      <x:c r="C269" t="str">
        <x:v>Resolved</x:v>
      </x:c>
      <x:c r="D269" t="str">
        <x:v>Mobile</x:v>
      </x:c>
      <x:c r="E269" t="str">
        <x:v>West</x:v>
      </x:c>
      <x:c r="F269" t="str">
        <x:v>Low</x:v>
      </x:c>
      <x:c r="G269" t="str">
        <x:v>Billing Error</x:v>
      </x:c>
      <x:c r="H269" s="3" t="n">
        <x:v>12.299999999999999</x:v>
      </x:c>
      <x:c r="I269" s="3" t="n">
        <x:v>77.9</x:v>
      </x:c>
      <x:c r="J269" s="3" t="n">
        <x:v>3.7</x:v>
      </x:c>
      <x:c r="K269" t="str">
        <x:v>Web</x:v>
      </x:c>
      <x:c r="L269" t="str">
        <x:v>Tech 16</x:v>
      </x:c>
    </x:row>
    <x:row r="270">
      <x:c r="A270" t="str">
        <x:v>TS-8269</x:v>
      </x:c>
      <x:c r="B270" t="str">
        <x:v>May</x:v>
      </x:c>
      <x:c r="C270" t="str">
        <x:v>In Progress</x:v>
      </x:c>
      <x:c r="D270" t="str">
        <x:v>Broadband</x:v>
      </x:c>
      <x:c r="E270" t="str">
        <x:v>North</x:v>
      </x:c>
      <x:c r="F270" t="str">
        <x:v>Medium</x:v>
      </x:c>
      <x:c r="G270" t="str">
        <x:v>No Signal</x:v>
      </x:c>
      <x:c r="H270" s="3" t="n">
        <x:v>13.6</x:v>
      </x:c>
      <x:c r="I270" s="3" t="n">
        <x:v>79.6</x:v>
      </x:c>
      <x:c r="J270" s="3" t="n">
        <x:v>4.8</x:v>
      </x:c>
      <x:c r="K270" t="str">
        <x:v>App</x:v>
      </x:c>
      <x:c r="L270" t="str">
        <x:v>Tech 5</x:v>
      </x:c>
    </x:row>
    <x:row r="271">
      <x:c r="A271" t="str">
        <x:v>TS-8270</x:v>
      </x:c>
      <x:c r="B271" t="str">
        <x:v>Jun</x:v>
      </x:c>
      <x:c r="C271" t="str">
        <x:v>Open</x:v>
      </x:c>
      <x:c r="D271" t="str">
        <x:v>Landline</x:v>
      </x:c>
      <x:c r="E271" t="str">
        <x:v>South</x:v>
      </x:c>
      <x:c r="F271" t="str">
        <x:v>High</x:v>
      </x:c>
      <x:c r="G271" t="str">
        <x:v>Installation Delay</x:v>
      </x:c>
      <x:c r="H271" s="3" t="n">
        <x:v>16.9</x:v>
      </x:c>
      <x:c r="I271" s="3" t="n">
        <x:v>89.3</x:v>
      </x:c>
      <x:c r="J271" s="3" t="n">
        <x:v>3.4</x:v>
      </x:c>
      <x:c r="K271" t="str">
        <x:v>Retail</x:v>
      </x:c>
      <x:c r="L271" t="str">
        <x:v>Tech 12</x:v>
      </x:c>
    </x:row>
    <x:row r="272">
      <x:c r="A272" t="str">
        <x:v>TS-8271</x:v>
      </x:c>
      <x:c r="B272" t="str">
        <x:v>Jul</x:v>
      </x:c>
      <x:c r="C272" t="str">
        <x:v>Resolved</x:v>
      </x:c>
      <x:c r="D272" t="str">
        <x:v>TV</x:v>
      </x:c>
      <x:c r="E272" t="str">
        <x:v>East</x:v>
      </x:c>
      <x:c r="F272" t="str">
        <x:v>Low</x:v>
      </x:c>
      <x:c r="G272" t="str">
        <x:v>Slow Internet</x:v>
      </x:c>
      <x:c r="H272" s="3" t="n">
        <x:v>16.2</x:v>
      </x:c>
      <x:c r="I272" s="3" t="n">
        <x:v>83</x:v>
      </x:c>
      <x:c r="J272" s="3" t="n">
        <x:v>4.5</x:v>
      </x:c>
      <x:c r="K272" t="str">
        <x:v>Phone</x:v>
      </x:c>
      <x:c r="L272" t="str">
        <x:v>Tech 1</x:v>
      </x:c>
    </x:row>
    <x:row r="273">
      <x:c r="A273" t="str">
        <x:v>TS-8272</x:v>
      </x:c>
      <x:c r="B273" t="str">
        <x:v>Aug</x:v>
      </x:c>
      <x:c r="C273" t="str">
        <x:v>In Progress</x:v>
      </x:c>
      <x:c r="D273" t="str">
        <x:v>Mobile</x:v>
      </x:c>
      <x:c r="E273" t="str">
        <x:v>West</x:v>
      </x:c>
      <x:c r="F273" t="str">
        <x:v>Medium</x:v>
      </x:c>
      <x:c r="G273" t="str">
        <x:v>Service Outage</x:v>
      </x:c>
      <x:c r="H273" s="3" t="n">
        <x:v>17.5</x:v>
      </x:c>
      <x:c r="I273" s="3" t="n">
        <x:v>84.7</x:v>
      </x:c>
      <x:c r="J273" s="3" t="n">
        <x:v>3.1</x:v>
      </x:c>
      <x:c r="K273" t="str">
        <x:v>Web</x:v>
      </x:c>
      <x:c r="L273" t="str">
        <x:v>Tech 8</x:v>
      </x:c>
    </x:row>
    <x:row r="274">
      <x:c r="A274" t="str">
        <x:v>TS-8273</x:v>
      </x:c>
      <x:c r="B274" t="str">
        <x:v>Sep</x:v>
      </x:c>
      <x:c r="C274" t="str">
        <x:v>Open</x:v>
      </x:c>
      <x:c r="D274" t="str">
        <x:v>Broadband</x:v>
      </x:c>
      <x:c r="E274" t="str">
        <x:v>North</x:v>
      </x:c>
      <x:c r="F274" t="str">
        <x:v>High</x:v>
      </x:c>
      <x:c r="G274" t="str">
        <x:v>Dropped Calls</x:v>
      </x:c>
      <x:c r="H274" s="3" t="n">
        <x:v>20.8</x:v>
      </x:c>
      <x:c r="I274" s="3" t="n">
        <x:v>94.4</x:v>
      </x:c>
      <x:c r="J274" s="3" t="n">
        <x:v>4.2</x:v>
      </x:c>
      <x:c r="K274" t="str">
        <x:v>App</x:v>
      </x:c>
      <x:c r="L274" t="str">
        <x:v>Tech 15</x:v>
      </x:c>
    </x:row>
    <x:row r="275">
      <x:c r="A275" t="str">
        <x:v>TS-8274</x:v>
      </x:c>
      <x:c r="B275" t="str">
        <x:v>Oct</x:v>
      </x:c>
      <x:c r="C275" t="str">
        <x:v>Resolved</x:v>
      </x:c>
      <x:c r="D275" t="str">
        <x:v>Landline</x:v>
      </x:c>
      <x:c r="E275" t="str">
        <x:v>South</x:v>
      </x:c>
      <x:c r="F275" t="str">
        <x:v>Low</x:v>
      </x:c>
      <x:c r="G275" t="str">
        <x:v>Billing Error</x:v>
      </x:c>
      <x:c r="H275" s="3" t="n">
        <x:v>20.099999999999998</x:v>
      </x:c>
      <x:c r="I275" s="3" t="n">
        <x:v>88.1</x:v>
      </x:c>
      <x:c r="J275" s="3" t="n">
        <x:v>2.8</x:v>
      </x:c>
      <x:c r="K275" t="str">
        <x:v>Retail</x:v>
      </x:c>
      <x:c r="L275" t="str">
        <x:v>Tech 4</x:v>
      </x:c>
    </x:row>
    <x:row r="276">
      <x:c r="A276" t="str">
        <x:v>TS-8275</x:v>
      </x:c>
      <x:c r="B276" t="str">
        <x:v>Nov</x:v>
      </x:c>
      <x:c r="C276" t="str">
        <x:v>In Progress</x:v>
      </x:c>
      <x:c r="D276" t="str">
        <x:v>TV</x:v>
      </x:c>
      <x:c r="E276" t="str">
        <x:v>East</x:v>
      </x:c>
      <x:c r="F276" t="str">
        <x:v>Medium</x:v>
      </x:c>
      <x:c r="G276" t="str">
        <x:v>No Signal</x:v>
      </x:c>
      <x:c r="H276" s="3" t="n">
        <x:v>21.4</x:v>
      </x:c>
      <x:c r="I276" s="3" t="n">
        <x:v>89.8</x:v>
      </x:c>
      <x:c r="J276" s="3" t="n">
        <x:v>3.9</x:v>
      </x:c>
      <x:c r="K276" t="str">
        <x:v>Phone</x:v>
      </x:c>
      <x:c r="L276" t="str">
        <x:v>Tech 11</x:v>
      </x:c>
    </x:row>
    <x:row r="277">
      <x:c r="A277" t="str">
        <x:v>TS-8276</x:v>
      </x:c>
      <x:c r="B277" t="str">
        <x:v>Dec</x:v>
      </x:c>
      <x:c r="C277" t="str">
        <x:v>Open</x:v>
      </x:c>
      <x:c r="D277" t="str">
        <x:v>Mobile</x:v>
      </x:c>
      <x:c r="E277" t="str">
        <x:v>West</x:v>
      </x:c>
      <x:c r="F277" t="str">
        <x:v>High</x:v>
      </x:c>
      <x:c r="G277" t="str">
        <x:v>Installation Delay</x:v>
      </x:c>
      <x:c r="H277" s="3" t="n">
        <x:v>3.7</x:v>
      </x:c>
      <x:c r="I277" s="3" t="n">
        <x:v>99.5</x:v>
      </x:c>
      <x:c r="J277" s="3" t="n">
        <x:v>2.5</x:v>
      </x:c>
      <x:c r="K277" t="str">
        <x:v>Web</x:v>
      </x:c>
      <x:c r="L277" t="str">
        <x:v>Tech 18</x:v>
      </x:c>
    </x:row>
    <x:row r="278">
      <x:c r="A278" t="str">
        <x:v>TS-8277</x:v>
      </x:c>
      <x:c r="B278" t="str">
        <x:v>Jan</x:v>
      </x:c>
      <x:c r="C278" t="str">
        <x:v>Resolved</x:v>
      </x:c>
      <x:c r="D278" t="str">
        <x:v>Broadband</x:v>
      </x:c>
      <x:c r="E278" t="str">
        <x:v>North</x:v>
      </x:c>
      <x:c r="F278" t="str">
        <x:v>Low</x:v>
      </x:c>
      <x:c r="G278" t="str">
        <x:v>Slow Internet</x:v>
      </x:c>
      <x:c r="H278" s="3" t="n">
        <x:v>3</x:v>
      </x:c>
      <x:c r="I278" s="3" t="n">
        <x:v>93.2</x:v>
      </x:c>
      <x:c r="J278" s="3" t="n">
        <x:v>3.6</x:v>
      </x:c>
      <x:c r="K278" t="str">
        <x:v>App</x:v>
      </x:c>
      <x:c r="L278" t="str">
        <x:v>Tech 7</x:v>
      </x:c>
    </x:row>
    <x:row r="279">
      <x:c r="A279" t="str">
        <x:v>TS-8278</x:v>
      </x:c>
      <x:c r="B279" t="str">
        <x:v>Feb</x:v>
      </x:c>
      <x:c r="C279" t="str">
        <x:v>In Progress</x:v>
      </x:c>
      <x:c r="D279" t="str">
        <x:v>Landline</x:v>
      </x:c>
      <x:c r="E279" t="str">
        <x:v>South</x:v>
      </x:c>
      <x:c r="F279" t="str">
        <x:v>Medium</x:v>
      </x:c>
      <x:c r="G279" t="str">
        <x:v>Service Outage</x:v>
      </x:c>
      <x:c r="H279" s="3" t="n">
        <x:v>4.3</x:v>
      </x:c>
      <x:c r="I279" s="3" t="n">
        <x:v>94.9</x:v>
      </x:c>
      <x:c r="J279" s="3" t="n">
        <x:v>4.7</x:v>
      </x:c>
      <x:c r="K279" t="str">
        <x:v>Retail</x:v>
      </x:c>
      <x:c r="L279" t="str">
        <x:v>Tech 14</x:v>
      </x:c>
    </x:row>
    <x:row r="280">
      <x:c r="A280" t="str">
        <x:v>TS-8279</x:v>
      </x:c>
      <x:c r="B280" t="str">
        <x:v>Mar</x:v>
      </x:c>
      <x:c r="C280" t="str">
        <x:v>Open</x:v>
      </x:c>
      <x:c r="D280" t="str">
        <x:v>TV</x:v>
      </x:c>
      <x:c r="E280" t="str">
        <x:v>East</x:v>
      </x:c>
      <x:c r="F280" t="str">
        <x:v>High</x:v>
      </x:c>
      <x:c r="G280" t="str">
        <x:v>Dropped Calls</x:v>
      </x:c>
      <x:c r="H280" s="3" t="n">
        <x:v>7.6000000000000005</x:v>
      </x:c>
      <x:c r="I280" s="3" t="n">
        <x:v>104.6</x:v>
      </x:c>
      <x:c r="J280" s="3" t="n">
        <x:v>3.3</x:v>
      </x:c>
      <x:c r="K280" t="str">
        <x:v>Phone</x:v>
      </x:c>
      <x:c r="L280" t="str">
        <x:v>Tech 3</x:v>
      </x:c>
    </x:row>
    <x:row r="281">
      <x:c r="A281" t="str">
        <x:v>TS-8280</x:v>
      </x:c>
      <x:c r="B281" t="str">
        <x:v>Apr</x:v>
      </x:c>
      <x:c r="C281" t="str">
        <x:v>Resolved</x:v>
      </x:c>
      <x:c r="D281" t="str">
        <x:v>Mobile</x:v>
      </x:c>
      <x:c r="E281" t="str">
        <x:v>West</x:v>
      </x:c>
      <x:c r="F281" t="str">
        <x:v>Low</x:v>
      </x:c>
      <x:c r="G281" t="str">
        <x:v>Billing Error</x:v>
      </x:c>
      <x:c r="H281" s="3" t="n">
        <x:v>6.9</x:v>
      </x:c>
      <x:c r="I281" s="3" t="n">
        <x:v>98.3</x:v>
      </x:c>
      <x:c r="J281" s="3" t="n">
        <x:v>4.4</x:v>
      </x:c>
      <x:c r="K281" t="str">
        <x:v>Web</x:v>
      </x:c>
      <x:c r="L281" t="str">
        <x:v>Tech 10</x:v>
      </x:c>
    </x:row>
    <x:row r="282">
      <x:c r="A282" t="str">
        <x:v>TS-8281</x:v>
      </x:c>
      <x:c r="B282" t="str">
        <x:v>May</x:v>
      </x:c>
      <x:c r="C282" t="str">
        <x:v>In Progress</x:v>
      </x:c>
      <x:c r="D282" t="str">
        <x:v>Broadband</x:v>
      </x:c>
      <x:c r="E282" t="str">
        <x:v>North</x:v>
      </x:c>
      <x:c r="F282" t="str">
        <x:v>Medium</x:v>
      </x:c>
      <x:c r="G282" t="str">
        <x:v>No Signal</x:v>
      </x:c>
      <x:c r="H282" s="3" t="n">
        <x:v>8.2</x:v>
      </x:c>
      <x:c r="I282" s="3" t="n">
        <x:v>100</x:v>
      </x:c>
      <x:c r="J282" s="3" t="n">
        <x:v>3</x:v>
      </x:c>
      <x:c r="K282" t="str">
        <x:v>App</x:v>
      </x:c>
      <x:c r="L282" t="str">
        <x:v>Tech 17</x:v>
      </x:c>
    </x:row>
    <x:row r="283">
      <x:c r="A283" t="str">
        <x:v>TS-8282</x:v>
      </x:c>
      <x:c r="B283" t="str">
        <x:v>Jun</x:v>
      </x:c>
      <x:c r="C283" t="str">
        <x:v>Open</x:v>
      </x:c>
      <x:c r="D283" t="str">
        <x:v>Landline</x:v>
      </x:c>
      <x:c r="E283" t="str">
        <x:v>South</x:v>
      </x:c>
      <x:c r="F283" t="str">
        <x:v>High</x:v>
      </x:c>
      <x:c r="G283" t="str">
        <x:v>Installation Delay</x:v>
      </x:c>
      <x:c r="H283" s="3" t="n">
        <x:v>11.5</x:v>
      </x:c>
      <x:c r="I283" s="3" t="n">
        <x:v>109.7</x:v>
      </x:c>
      <x:c r="J283" s="3" t="n">
        <x:v>4.1</x:v>
      </x:c>
      <x:c r="K283" t="str">
        <x:v>Retail</x:v>
      </x:c>
      <x:c r="L283" t="str">
        <x:v>Tech 6</x:v>
      </x:c>
    </x:row>
    <x:row r="284">
      <x:c r="A284" t="str">
        <x:v>TS-8283</x:v>
      </x:c>
      <x:c r="B284" t="str">
        <x:v>Jul</x:v>
      </x:c>
      <x:c r="C284" t="str">
        <x:v>Resolved</x:v>
      </x:c>
      <x:c r="D284" t="str">
        <x:v>TV</x:v>
      </x:c>
      <x:c r="E284" t="str">
        <x:v>East</x:v>
      </x:c>
      <x:c r="F284" t="str">
        <x:v>Low</x:v>
      </x:c>
      <x:c r="G284" t="str">
        <x:v>Slow Internet</x:v>
      </x:c>
      <x:c r="H284" s="3" t="n">
        <x:v>10.799999999999999</x:v>
      </x:c>
      <x:c r="I284" s="3" t="n">
        <x:v>103.4</x:v>
      </x:c>
      <x:c r="J284" s="3" t="n">
        <x:v>2.7</x:v>
      </x:c>
      <x:c r="K284" t="str">
        <x:v>Phone</x:v>
      </x:c>
      <x:c r="L284" t="str">
        <x:v>Tech 13</x:v>
      </x:c>
    </x:row>
    <x:row r="285">
      <x:c r="A285" t="str">
        <x:v>TS-8284</x:v>
      </x:c>
      <x:c r="B285" t="str">
        <x:v>Aug</x:v>
      </x:c>
      <x:c r="C285" t="str">
        <x:v>In Progress</x:v>
      </x:c>
      <x:c r="D285" t="str">
        <x:v>Mobile</x:v>
      </x:c>
      <x:c r="E285" t="str">
        <x:v>West</x:v>
      </x:c>
      <x:c r="F285" t="str">
        <x:v>Medium</x:v>
      </x:c>
      <x:c r="G285" t="str">
        <x:v>Service Outage</x:v>
      </x:c>
      <x:c r="H285" s="3" t="n">
        <x:v>12.1</x:v>
      </x:c>
      <x:c r="I285" s="3" t="n">
        <x:v>9.1</x:v>
      </x:c>
      <x:c r="J285" s="3" t="n">
        <x:v>3.8</x:v>
      </x:c>
      <x:c r="K285" t="str">
        <x:v>Web</x:v>
      </x:c>
      <x:c r="L285" t="str">
        <x:v>Tech 2</x:v>
      </x:c>
    </x:row>
    <x:row r="286">
      <x:c r="A286" t="str">
        <x:v>TS-8285</x:v>
      </x:c>
      <x:c r="B286" t="str">
        <x:v>Sep</x:v>
      </x:c>
      <x:c r="C286" t="str">
        <x:v>Open</x:v>
      </x:c>
      <x:c r="D286" t="str">
        <x:v>Broadband</x:v>
      </x:c>
      <x:c r="E286" t="str">
        <x:v>North</x:v>
      </x:c>
      <x:c r="F286" t="str">
        <x:v>High</x:v>
      </x:c>
      <x:c r="G286" t="str">
        <x:v>Dropped Calls</x:v>
      </x:c>
      <x:c r="H286" s="3" t="n">
        <x:v>15.399999999999999</x:v>
      </x:c>
      <x:c r="I286" s="3" t="n">
        <x:v>18.8</x:v>
      </x:c>
      <x:c r="J286" s="3" t="n">
        <x:v>4.9</x:v>
      </x:c>
      <x:c r="K286" t="str">
        <x:v>App</x:v>
      </x:c>
      <x:c r="L286" t="str">
        <x:v>Tech 9</x:v>
      </x:c>
    </x:row>
    <x:row r="287">
      <x:c r="A287" t="str">
        <x:v>TS-8286</x:v>
      </x:c>
      <x:c r="B287" t="str">
        <x:v>Oct</x:v>
      </x:c>
      <x:c r="C287" t="str">
        <x:v>Open</x:v>
      </x:c>
      <x:c r="D287" t="str">
        <x:v>Landline</x:v>
      </x:c>
      <x:c r="E287" t="str">
        <x:v>South</x:v>
      </x:c>
      <x:c r="F287" t="str">
        <x:v>Low</x:v>
      </x:c>
      <x:c r="G287" t="str">
        <x:v>Billing Error</x:v>
      </x:c>
      <x:c r="H287" s="3" t="n">
        <x:v>14.7</x:v>
      </x:c>
      <x:c r="I287" s="3" t="n">
        <x:v>12.5</x:v>
      </x:c>
      <x:c r="J287" s="3" t="n">
        <x:v>3.5</x:v>
      </x:c>
      <x:c r="K287" t="str">
        <x:v>Retail</x:v>
      </x:c>
      <x:c r="L287" t="str">
        <x:v>Tech 16</x:v>
      </x:c>
    </x:row>
    <x:row r="288">
      <x:c r="A288" t="str">
        <x:v>TS-8287</x:v>
      </x:c>
      <x:c r="B288" t="str">
        <x:v>Nov</x:v>
      </x:c>
      <x:c r="C288" t="str">
        <x:v>Resolved</x:v>
      </x:c>
      <x:c r="D288" t="str">
        <x:v>TV</x:v>
      </x:c>
      <x:c r="E288" t="str">
        <x:v>East</x:v>
      </x:c>
      <x:c r="F288" t="str">
        <x:v>Medium</x:v>
      </x:c>
      <x:c r="G288" t="str">
        <x:v>No Signal</x:v>
      </x:c>
      <x:c r="H288" s="3" t="n">
        <x:v>16</x:v>
      </x:c>
      <x:c r="I288" s="3" t="n">
        <x:v>14.2</x:v>
      </x:c>
      <x:c r="J288" s="3" t="n">
        <x:v>4.6</x:v>
      </x:c>
      <x:c r="K288" t="str">
        <x:v>Phone</x:v>
      </x:c>
      <x:c r="L288" t="str">
        <x:v>Tech 5</x:v>
      </x:c>
    </x:row>
    <x:row r="289">
      <x:c r="A289" t="str">
        <x:v>TS-8288</x:v>
      </x:c>
      <x:c r="B289" t="str">
        <x:v>Dec</x:v>
      </x:c>
      <x:c r="C289" t="str">
        <x:v>In Progress</x:v>
      </x:c>
      <x:c r="D289" t="str">
        <x:v>Mobile</x:v>
      </x:c>
      <x:c r="E289" t="str">
        <x:v>West</x:v>
      </x:c>
      <x:c r="F289" t="str">
        <x:v>High</x:v>
      </x:c>
      <x:c r="G289" t="str">
        <x:v>Installation Delay</x:v>
      </x:c>
      <x:c r="H289" s="3" t="n">
        <x:v>19.3</x:v>
      </x:c>
      <x:c r="I289" s="3" t="n">
        <x:v>23.9</x:v>
      </x:c>
      <x:c r="J289" s="3" t="n">
        <x:v>3.2</x:v>
      </x:c>
      <x:c r="K289" t="str">
        <x:v>Web</x:v>
      </x:c>
      <x:c r="L289" t="str">
        <x:v>Tech 12</x:v>
      </x:c>
    </x:row>
    <x:row r="290">
      <x:c r="A290" t="str">
        <x:v>TS-8289</x:v>
      </x:c>
      <x:c r="B290" t="str">
        <x:v>Jan</x:v>
      </x:c>
      <x:c r="C290" t="str">
        <x:v>Open</x:v>
      </x:c>
      <x:c r="D290" t="str">
        <x:v>Broadband</x:v>
      </x:c>
      <x:c r="E290" t="str">
        <x:v>North</x:v>
      </x:c>
      <x:c r="F290" t="str">
        <x:v>Low</x:v>
      </x:c>
      <x:c r="G290" t="str">
        <x:v>Slow Internet</x:v>
      </x:c>
      <x:c r="H290" s="3" t="n">
        <x:v>18.599999999999998</x:v>
      </x:c>
      <x:c r="I290" s="3" t="n">
        <x:v>17.6</x:v>
      </x:c>
      <x:c r="J290" s="3" t="n">
        <x:v>4.3</x:v>
      </x:c>
      <x:c r="K290" t="str">
        <x:v>App</x:v>
      </x:c>
      <x:c r="L290" t="str">
        <x:v>Tech 1</x:v>
      </x:c>
    </x:row>
    <x:row r="291">
      <x:c r="A291" t="str">
        <x:v>TS-8290</x:v>
      </x:c>
      <x:c r="B291" t="str">
        <x:v>Feb</x:v>
      </x:c>
      <x:c r="C291" t="str">
        <x:v>Resolved</x:v>
      </x:c>
      <x:c r="D291" t="str">
        <x:v>Landline</x:v>
      </x:c>
      <x:c r="E291" t="str">
        <x:v>South</x:v>
      </x:c>
      <x:c r="F291" t="str">
        <x:v>Medium</x:v>
      </x:c>
      <x:c r="G291" t="str">
        <x:v>Service Outage</x:v>
      </x:c>
      <x:c r="H291" s="3" t="n">
        <x:v>19.9</x:v>
      </x:c>
      <x:c r="I291" s="3" t="n">
        <x:v>19.3</x:v>
      </x:c>
      <x:c r="J291" s="3" t="n">
        <x:v>2.9</x:v>
      </x:c>
      <x:c r="K291" t="str">
        <x:v>Retail</x:v>
      </x:c>
      <x:c r="L291" t="str">
        <x:v>Tech 8</x:v>
      </x:c>
    </x:row>
    <x:row r="292">
      <x:c r="A292" t="str">
        <x:v>TS-8291</x:v>
      </x:c>
      <x:c r="B292" t="str">
        <x:v>Mar</x:v>
      </x:c>
      <x:c r="C292" t="str">
        <x:v>In Progress</x:v>
      </x:c>
      <x:c r="D292" t="str">
        <x:v>TV</x:v>
      </x:c>
      <x:c r="E292" t="str">
        <x:v>East</x:v>
      </x:c>
      <x:c r="F292" t="str">
        <x:v>High</x:v>
      </x:c>
      <x:c r="G292" t="str">
        <x:v>Dropped Calls</x:v>
      </x:c>
      <x:c r="H292" s="3" t="n">
        <x:v>23.2</x:v>
      </x:c>
      <x:c r="I292" s="3" t="n">
        <x:v>29</x:v>
      </x:c>
      <x:c r="J292" s="3" t="n">
        <x:v>4</x:v>
      </x:c>
      <x:c r="K292" t="str">
        <x:v>Phone</x:v>
      </x:c>
      <x:c r="L292" t="str">
        <x:v>Tech 15</x:v>
      </x:c>
    </x:row>
    <x:row r="293">
      <x:c r="A293" t="str">
        <x:v>TS-8292</x:v>
      </x:c>
      <x:c r="B293" t="str">
        <x:v>Apr</x:v>
      </x:c>
      <x:c r="C293" t="str">
        <x:v>Open</x:v>
      </x:c>
      <x:c r="D293" t="str">
        <x:v>Mobile</x:v>
      </x:c>
      <x:c r="E293" t="str">
        <x:v>West</x:v>
      </x:c>
      <x:c r="F293" t="str">
        <x:v>Low</x:v>
      </x:c>
      <x:c r="G293" t="str">
        <x:v>Billing Error</x:v>
      </x:c>
      <x:c r="H293" s="3" t="n">
        <x:v>1.5</x:v>
      </x:c>
      <x:c r="I293" s="3" t="n">
        <x:v>22.7</x:v>
      </x:c>
      <x:c r="J293" s="3" t="n">
        <x:v>2.6</x:v>
      </x:c>
      <x:c r="K293" t="str">
        <x:v>Web</x:v>
      </x:c>
      <x:c r="L293" t="str">
        <x:v>Tech 4</x:v>
      </x:c>
    </x:row>
    <x:row r="294">
      <x:c r="A294" t="str">
        <x:v>TS-8293</x:v>
      </x:c>
      <x:c r="B294" t="str">
        <x:v>May</x:v>
      </x:c>
      <x:c r="C294" t="str">
        <x:v>Resolved</x:v>
      </x:c>
      <x:c r="D294" t="str">
        <x:v>Broadband</x:v>
      </x:c>
      <x:c r="E294" t="str">
        <x:v>North</x:v>
      </x:c>
      <x:c r="F294" t="str">
        <x:v>Medium</x:v>
      </x:c>
      <x:c r="G294" t="str">
        <x:v>No Signal</x:v>
      </x:c>
      <x:c r="H294" s="3" t="n">
        <x:v>2.8</x:v>
      </x:c>
      <x:c r="I294" s="3" t="n">
        <x:v>24.4</x:v>
      </x:c>
      <x:c r="J294" s="3" t="n">
        <x:v>3.7</x:v>
      </x:c>
      <x:c r="K294" t="str">
        <x:v>App</x:v>
      </x:c>
      <x:c r="L294" t="str">
        <x:v>Tech 11</x:v>
      </x:c>
    </x:row>
    <x:row r="295">
      <x:c r="A295" t="str">
        <x:v>TS-8294</x:v>
      </x:c>
      <x:c r="B295" t="str">
        <x:v>Jun</x:v>
      </x:c>
      <x:c r="C295" t="str">
        <x:v>In Progress</x:v>
      </x:c>
      <x:c r="D295" t="str">
        <x:v>Landline</x:v>
      </x:c>
      <x:c r="E295" t="str">
        <x:v>South</x:v>
      </x:c>
      <x:c r="F295" t="str">
        <x:v>High</x:v>
      </x:c>
      <x:c r="G295" t="str">
        <x:v>Installation Delay</x:v>
      </x:c>
      <x:c r="H295" s="3" t="n">
        <x:v>6.1</x:v>
      </x:c>
      <x:c r="I295" s="3" t="n">
        <x:v>34.1</x:v>
      </x:c>
      <x:c r="J295" s="3" t="n">
        <x:v>4.8</x:v>
      </x:c>
      <x:c r="K295" t="str">
        <x:v>Retail</x:v>
      </x:c>
      <x:c r="L295" t="str">
        <x:v>Tech 18</x:v>
      </x:c>
    </x:row>
    <x:row r="296">
      <x:c r="A296" t="str">
        <x:v>TS-8295</x:v>
      </x:c>
      <x:c r="B296" t="str">
        <x:v>Jul</x:v>
      </x:c>
      <x:c r="C296" t="str">
        <x:v>Open</x:v>
      </x:c>
      <x:c r="D296" t="str">
        <x:v>TV</x:v>
      </x:c>
      <x:c r="E296" t="str">
        <x:v>East</x:v>
      </x:c>
      <x:c r="F296" t="str">
        <x:v>Low</x:v>
      </x:c>
      <x:c r="G296" t="str">
        <x:v>Slow Internet</x:v>
      </x:c>
      <x:c r="H296" s="3" t="n">
        <x:v>5.4</x:v>
      </x:c>
      <x:c r="I296" s="3" t="n">
        <x:v>27.8</x:v>
      </x:c>
      <x:c r="J296" s="3" t="n">
        <x:v>3.4</x:v>
      </x:c>
      <x:c r="K296" t="str">
        <x:v>Phone</x:v>
      </x:c>
      <x:c r="L296" t="str">
        <x:v>Tech 7</x:v>
      </x:c>
    </x:row>
    <x:row r="297">
      <x:c r="A297" t="str">
        <x:v>TS-8296</x:v>
      </x:c>
      <x:c r="B297" t="str">
        <x:v>Aug</x:v>
      </x:c>
      <x:c r="C297" t="str">
        <x:v>Resolved</x:v>
      </x:c>
      <x:c r="D297" t="str">
        <x:v>Mobile</x:v>
      </x:c>
      <x:c r="E297" t="str">
        <x:v>West</x:v>
      </x:c>
      <x:c r="F297" t="str">
        <x:v>Medium</x:v>
      </x:c>
      <x:c r="G297" t="str">
        <x:v>Service Outage</x:v>
      </x:c>
      <x:c r="H297" s="3" t="n">
        <x:v>6.7</x:v>
      </x:c>
      <x:c r="I297" s="3" t="n">
        <x:v>29.5</x:v>
      </x:c>
      <x:c r="J297" s="3" t="n">
        <x:v>4.5</x:v>
      </x:c>
      <x:c r="K297" t="str">
        <x:v>Web</x:v>
      </x:c>
      <x:c r="L297" t="str">
        <x:v>Tech 14</x:v>
      </x:c>
    </x:row>
    <x:row r="298">
      <x:c r="A298" t="str">
        <x:v>TS-8297</x:v>
      </x:c>
      <x:c r="B298" t="str">
        <x:v>Sep</x:v>
      </x:c>
      <x:c r="C298" t="str">
        <x:v>In Progress</x:v>
      </x:c>
      <x:c r="D298" t="str">
        <x:v>Broadband</x:v>
      </x:c>
      <x:c r="E298" t="str">
        <x:v>North</x:v>
      </x:c>
      <x:c r="F298" t="str">
        <x:v>High</x:v>
      </x:c>
      <x:c r="G298" t="str">
        <x:v>Dropped Calls</x:v>
      </x:c>
      <x:c r="H298" s="3" t="n">
        <x:v>10</x:v>
      </x:c>
      <x:c r="I298" s="3" t="n">
        <x:v>39.2</x:v>
      </x:c>
      <x:c r="J298" s="3" t="n">
        <x:v>3.1</x:v>
      </x:c>
      <x:c r="K298" t="str">
        <x:v>App</x:v>
      </x:c>
      <x:c r="L298" t="str">
        <x:v>Tech 3</x:v>
      </x:c>
    </x:row>
    <x:row r="299">
      <x:c r="A299" t="str">
        <x:v>TS-8298</x:v>
      </x:c>
      <x:c r="B299" t="str">
        <x:v>Oct</x:v>
      </x:c>
      <x:c r="C299" t="str">
        <x:v>Open</x:v>
      </x:c>
      <x:c r="D299" t="str">
        <x:v>Landline</x:v>
      </x:c>
      <x:c r="E299" t="str">
        <x:v>South</x:v>
      </x:c>
      <x:c r="F299" t="str">
        <x:v>Low</x:v>
      </x:c>
      <x:c r="G299" t="str">
        <x:v>Billing Error</x:v>
      </x:c>
      <x:c r="H299" s="3" t="n">
        <x:v>9.299999999999999</x:v>
      </x:c>
      <x:c r="I299" s="3" t="n">
        <x:v>32.9</x:v>
      </x:c>
      <x:c r="J299" s="3" t="n">
        <x:v>4.2</x:v>
      </x:c>
      <x:c r="K299" t="str">
        <x:v>Retail</x:v>
      </x:c>
      <x:c r="L299" t="str">
        <x:v>Tech 10</x:v>
      </x:c>
    </x:row>
    <x:row r="300">
      <x:c r="A300" t="str">
        <x:v>TS-8299</x:v>
      </x:c>
      <x:c r="B300" t="str">
        <x:v>Nov</x:v>
      </x:c>
      <x:c r="C300" t="str">
        <x:v>Resolved</x:v>
      </x:c>
      <x:c r="D300" t="str">
        <x:v>TV</x:v>
      </x:c>
      <x:c r="E300" t="str">
        <x:v>East</x:v>
      </x:c>
      <x:c r="F300" t="str">
        <x:v>Medium</x:v>
      </x:c>
      <x:c r="G300" t="str">
        <x:v>No Signal</x:v>
      </x:c>
      <x:c r="H300" s="3" t="n">
        <x:v>10.6</x:v>
      </x:c>
      <x:c r="I300" s="3" t="n">
        <x:v>34.6</x:v>
      </x:c>
      <x:c r="J300" s="3" t="n">
        <x:v>2.8</x:v>
      </x:c>
      <x:c r="K300" t="str">
        <x:v>Phone</x:v>
      </x:c>
      <x:c r="L300" t="str">
        <x:v>Tech 17</x:v>
      </x:c>
    </x:row>
    <x:row r="301">
      <x:c r="A301" t="str">
        <x:v>TS-8300</x:v>
      </x:c>
      <x:c r="B301" t="str">
        <x:v>Dec</x:v>
      </x:c>
      <x:c r="C301" t="str">
        <x:v>In Progress</x:v>
      </x:c>
      <x:c r="D301" t="str">
        <x:v>Mobile</x:v>
      </x:c>
      <x:c r="E301" t="str">
        <x:v>West</x:v>
      </x:c>
      <x:c r="F301" t="str">
        <x:v>High</x:v>
      </x:c>
      <x:c r="G301" t="str">
        <x:v>Installation Delay</x:v>
      </x:c>
      <x:c r="H301" s="3" t="n">
        <x:v>13.899999999999999</x:v>
      </x:c>
      <x:c r="I301" s="3" t="n">
        <x:v>44.3</x:v>
      </x:c>
      <x:c r="J301" s="3" t="n">
        <x:v>3.9</x:v>
      </x:c>
      <x:c r="K301" t="str">
        <x:v>Web</x:v>
      </x:c>
      <x:c r="L301" t="str">
        <x:v>Tech 6</x:v>
      </x:c>
    </x:row>
    <x:row r="302">
      <x:c r="A302" t="str">
        <x:v>TS-8301</x:v>
      </x:c>
      <x:c r="B302" t="str">
        <x:v>Jan</x:v>
      </x:c>
      <x:c r="C302" t="str">
        <x:v>Open</x:v>
      </x:c>
      <x:c r="D302" t="str">
        <x:v>Broadband</x:v>
      </x:c>
      <x:c r="E302" t="str">
        <x:v>North</x:v>
      </x:c>
      <x:c r="F302" t="str">
        <x:v>Low</x:v>
      </x:c>
      <x:c r="G302" t="str">
        <x:v>Slow Internet</x:v>
      </x:c>
      <x:c r="H302" s="3" t="n">
        <x:v>13.2</x:v>
      </x:c>
      <x:c r="I302" s="3" t="n">
        <x:v>38</x:v>
      </x:c>
      <x:c r="J302" s="3" t="n">
        <x:v>2.5</x:v>
      </x:c>
      <x:c r="K302" t="str">
        <x:v>App</x:v>
      </x:c>
      <x:c r="L302" t="str">
        <x:v>Tech 13</x:v>
      </x:c>
    </x:row>
    <x:row r="303">
      <x:c r="A303" t="str">
        <x:v>TS-8302</x:v>
      </x:c>
      <x:c r="B303" t="str">
        <x:v>Feb</x:v>
      </x:c>
      <x:c r="C303" t="str">
        <x:v>Resolved</x:v>
      </x:c>
      <x:c r="D303" t="str">
        <x:v>Landline</x:v>
      </x:c>
      <x:c r="E303" t="str">
        <x:v>South</x:v>
      </x:c>
      <x:c r="F303" t="str">
        <x:v>Medium</x:v>
      </x:c>
      <x:c r="G303" t="str">
        <x:v>Service Outage</x:v>
      </x:c>
      <x:c r="H303" s="3" t="n">
        <x:v>14.5</x:v>
      </x:c>
      <x:c r="I303" s="3" t="n">
        <x:v>39.7</x:v>
      </x:c>
      <x:c r="J303" s="3" t="n">
        <x:v>3.6</x:v>
      </x:c>
      <x:c r="K303" t="str">
        <x:v>Retail</x:v>
      </x:c>
      <x:c r="L303" t="str">
        <x:v>Tech 2</x:v>
      </x:c>
    </x:row>
    <x:row r="304">
      <x:c r="A304" t="str">
        <x:v>TS-8303</x:v>
      </x:c>
      <x:c r="B304" t="str">
        <x:v>Mar</x:v>
      </x:c>
      <x:c r="C304" t="str">
        <x:v>In Progress</x:v>
      </x:c>
      <x:c r="D304" t="str">
        <x:v>TV</x:v>
      </x:c>
      <x:c r="E304" t="str">
        <x:v>East</x:v>
      </x:c>
      <x:c r="F304" t="str">
        <x:v>High</x:v>
      </x:c>
      <x:c r="G304" t="str">
        <x:v>Dropped Calls</x:v>
      </x:c>
      <x:c r="H304" s="3" t="n">
        <x:v>17.799999999999997</x:v>
      </x:c>
      <x:c r="I304" s="3" t="n">
        <x:v>49.4</x:v>
      </x:c>
      <x:c r="J304" s="3" t="n">
        <x:v>4.7</x:v>
      </x:c>
      <x:c r="K304" t="str">
        <x:v>Phone</x:v>
      </x:c>
      <x:c r="L304" t="str">
        <x:v>Tech 9</x:v>
      </x:c>
    </x:row>
    <x:row r="305">
      <x:c r="A305" t="str">
        <x:v>TS-8304</x:v>
      </x:c>
      <x:c r="B305" t="str">
        <x:v>Apr</x:v>
      </x:c>
      <x:c r="C305" t="str">
        <x:v>Open</x:v>
      </x:c>
      <x:c r="D305" t="str">
        <x:v>Mobile</x:v>
      </x:c>
      <x:c r="E305" t="str">
        <x:v>West</x:v>
      </x:c>
      <x:c r="F305" t="str">
        <x:v>Low</x:v>
      </x:c>
      <x:c r="G305" t="str">
        <x:v>Billing Error</x:v>
      </x:c>
      <x:c r="H305" s="3" t="n">
        <x:v>17.1</x:v>
      </x:c>
      <x:c r="I305" s="3" t="n">
        <x:v>43.1</x:v>
      </x:c>
      <x:c r="J305" s="3" t="n">
        <x:v>3.3</x:v>
      </x:c>
      <x:c r="K305" t="str">
        <x:v>Web</x:v>
      </x:c>
      <x:c r="L305" t="str">
        <x:v>Tech 16</x:v>
      </x:c>
    </x:row>
    <x:row r="306">
      <x:c r="A306" t="str">
        <x:v>TS-8305</x:v>
      </x:c>
      <x:c r="B306" t="str">
        <x:v>May</x:v>
      </x:c>
      <x:c r="C306" t="str">
        <x:v>Open</x:v>
      </x:c>
      <x:c r="D306" t="str">
        <x:v>Broadband</x:v>
      </x:c>
      <x:c r="E306" t="str">
        <x:v>North</x:v>
      </x:c>
      <x:c r="F306" t="str">
        <x:v>Medium</x:v>
      </x:c>
      <x:c r="G306" t="str">
        <x:v>No Signal</x:v>
      </x:c>
      <x:c r="H306" s="3" t="n">
        <x:v>18.4</x:v>
      </x:c>
      <x:c r="I306" s="3" t="n">
        <x:v>44.8</x:v>
      </x:c>
      <x:c r="J306" s="3" t="n">
        <x:v>4.4</x:v>
      </x:c>
      <x:c r="K306" t="str">
        <x:v>App</x:v>
      </x:c>
      <x:c r="L306" t="str">
        <x:v>Tech 5</x:v>
      </x:c>
    </x:row>
    <x:row r="307">
      <x:c r="A307" t="str">
        <x:v>TS-8306</x:v>
      </x:c>
      <x:c r="B307" t="str">
        <x:v>Jun</x:v>
      </x:c>
      <x:c r="C307" t="str">
        <x:v>Resolved</x:v>
      </x:c>
      <x:c r="D307" t="str">
        <x:v>Landline</x:v>
      </x:c>
      <x:c r="E307" t="str">
        <x:v>South</x:v>
      </x:c>
      <x:c r="F307" t="str">
        <x:v>High</x:v>
      </x:c>
      <x:c r="G307" t="str">
        <x:v>Installation Delay</x:v>
      </x:c>
      <x:c r="H307" s="3" t="n">
        <x:v>21.7</x:v>
      </x:c>
      <x:c r="I307" s="3" t="n">
        <x:v>54.5</x:v>
      </x:c>
      <x:c r="J307" s="3" t="n">
        <x:v>3</x:v>
      </x:c>
      <x:c r="K307" t="str">
        <x:v>Retail</x:v>
      </x:c>
      <x:c r="L307" t="str">
        <x:v>Tech 12</x:v>
      </x:c>
    </x:row>
    <x:row r="308">
      <x:c r="A308" t="str">
        <x:v>TS-8307</x:v>
      </x:c>
      <x:c r="B308" t="str">
        <x:v>Jul</x:v>
      </x:c>
      <x:c r="C308" t="str">
        <x:v>In Progress</x:v>
      </x:c>
      <x:c r="D308" t="str">
        <x:v>TV</x:v>
      </x:c>
      <x:c r="E308" t="str">
        <x:v>East</x:v>
      </x:c>
      <x:c r="F308" t="str">
        <x:v>Low</x:v>
      </x:c>
      <x:c r="G308" t="str">
        <x:v>Slow Internet</x:v>
      </x:c>
      <x:c r="H308" s="3" t="n">
        <x:v>21</x:v>
      </x:c>
      <x:c r="I308" s="3" t="n">
        <x:v>48.2</x:v>
      </x:c>
      <x:c r="J308" s="3" t="n">
        <x:v>4.1</x:v>
      </x:c>
      <x:c r="K308" t="str">
        <x:v>Phone</x:v>
      </x:c>
      <x:c r="L308" t="str">
        <x:v>Tech 1</x:v>
      </x:c>
    </x:row>
    <x:row r="309">
      <x:c r="A309" t="str">
        <x:v>TS-8308</x:v>
      </x:c>
      <x:c r="B309" t="str">
        <x:v>Aug</x:v>
      </x:c>
      <x:c r="C309" t="str">
        <x:v>Open</x:v>
      </x:c>
      <x:c r="D309" t="str">
        <x:v>Mobile</x:v>
      </x:c>
      <x:c r="E309" t="str">
        <x:v>West</x:v>
      </x:c>
      <x:c r="F309" t="str">
        <x:v>Medium</x:v>
      </x:c>
      <x:c r="G309" t="str">
        <x:v>Service Outage</x:v>
      </x:c>
      <x:c r="H309" s="3" t="n">
        <x:v>1.3</x:v>
      </x:c>
      <x:c r="I309" s="3" t="n">
        <x:v>49.9</x:v>
      </x:c>
      <x:c r="J309" s="3" t="n">
        <x:v>2.7</x:v>
      </x:c>
      <x:c r="K309" t="str">
        <x:v>Web</x:v>
      </x:c>
      <x:c r="L309" t="str">
        <x:v>Tech 8</x:v>
      </x:c>
    </x:row>
    <x:row r="310">
      <x:c r="A310" t="str">
        <x:v>TS-8309</x:v>
      </x:c>
      <x:c r="B310" t="str">
        <x:v>Sep</x:v>
      </x:c>
      <x:c r="C310" t="str">
        <x:v>Resolved</x:v>
      </x:c>
      <x:c r="D310" t="str">
        <x:v>Broadband</x:v>
      </x:c>
      <x:c r="E310" t="str">
        <x:v>North</x:v>
      </x:c>
      <x:c r="F310" t="str">
        <x:v>High</x:v>
      </x:c>
      <x:c r="G310" t="str">
        <x:v>Dropped Calls</x:v>
      </x:c>
      <x:c r="H310" s="3" t="n">
        <x:v>4.6</x:v>
      </x:c>
      <x:c r="I310" s="3" t="n">
        <x:v>59.6</x:v>
      </x:c>
      <x:c r="J310" s="3" t="n">
        <x:v>3.8</x:v>
      </x:c>
      <x:c r="K310" t="str">
        <x:v>App</x:v>
      </x:c>
      <x:c r="L310" t="str">
        <x:v>Tech 15</x:v>
      </x:c>
    </x:row>
    <x:row r="311">
      <x:c r="A311" t="str">
        <x:v>TS-8310</x:v>
      </x:c>
      <x:c r="B311" t="str">
        <x:v>Oct</x:v>
      </x:c>
      <x:c r="C311" t="str">
        <x:v>In Progress</x:v>
      </x:c>
      <x:c r="D311" t="str">
        <x:v>Landline</x:v>
      </x:c>
      <x:c r="E311" t="str">
        <x:v>South</x:v>
      </x:c>
      <x:c r="F311" t="str">
        <x:v>Low</x:v>
      </x:c>
      <x:c r="G311" t="str">
        <x:v>Billing Error</x:v>
      </x:c>
      <x:c r="H311" s="3" t="n">
        <x:v>3.9000000000000004</x:v>
      </x:c>
      <x:c r="I311" s="3" t="n">
        <x:v>53.3</x:v>
      </x:c>
      <x:c r="J311" s="3" t="n">
        <x:v>4.9</x:v>
      </x:c>
      <x:c r="K311" t="str">
        <x:v>Retail</x:v>
      </x:c>
      <x:c r="L311" t="str">
        <x:v>Tech 4</x:v>
      </x:c>
    </x:row>
    <x:row r="312">
      <x:c r="A312" t="str">
        <x:v>TS-8311</x:v>
      </x:c>
      <x:c r="B312" t="str">
        <x:v>Nov</x:v>
      </x:c>
      <x:c r="C312" t="str">
        <x:v>Open</x:v>
      </x:c>
      <x:c r="D312" t="str">
        <x:v>TV</x:v>
      </x:c>
      <x:c r="E312" t="str">
        <x:v>East</x:v>
      </x:c>
      <x:c r="F312" t="str">
        <x:v>Medium</x:v>
      </x:c>
      <x:c r="G312" t="str">
        <x:v>No Signal</x:v>
      </x:c>
      <x:c r="H312" s="3" t="n">
        <x:v>5.2</x:v>
      </x:c>
      <x:c r="I312" s="3" t="n">
        <x:v>55</x:v>
      </x:c>
      <x:c r="J312" s="3" t="n">
        <x:v>3.5</x:v>
      </x:c>
      <x:c r="K312" t="str">
        <x:v>Phone</x:v>
      </x:c>
      <x:c r="L312" t="str">
        <x:v>Tech 11</x:v>
      </x:c>
    </x:row>
    <x:row r="313">
      <x:c r="A313" t="str">
        <x:v>TS-8312</x:v>
      </x:c>
      <x:c r="B313" t="str">
        <x:v>Dec</x:v>
      </x:c>
      <x:c r="C313" t="str">
        <x:v>Resolved</x:v>
      </x:c>
      <x:c r="D313" t="str">
        <x:v>Mobile</x:v>
      </x:c>
      <x:c r="E313" t="str">
        <x:v>West</x:v>
      </x:c>
      <x:c r="F313" t="str">
        <x:v>High</x:v>
      </x:c>
      <x:c r="G313" t="str">
        <x:v>Installation Delay</x:v>
      </x:c>
      <x:c r="H313" s="3" t="n">
        <x:v>8.5</x:v>
      </x:c>
      <x:c r="I313" s="3" t="n">
        <x:v>64.7</x:v>
      </x:c>
      <x:c r="J313" s="3" t="n">
        <x:v>4.6</x:v>
      </x:c>
      <x:c r="K313" t="str">
        <x:v>Web</x:v>
      </x:c>
      <x:c r="L313" t="str">
        <x:v>Tech 18</x:v>
      </x:c>
    </x:row>
    <x:row r="314">
      <x:c r="A314" t="str">
        <x:v>TS-8313</x:v>
      </x:c>
      <x:c r="B314" t="str">
        <x:v>Jan</x:v>
      </x:c>
      <x:c r="C314" t="str">
        <x:v>In Progress</x:v>
      </x:c>
      <x:c r="D314" t="str">
        <x:v>Broadband</x:v>
      </x:c>
      <x:c r="E314" t="str">
        <x:v>North</x:v>
      </x:c>
      <x:c r="F314" t="str">
        <x:v>Low</x:v>
      </x:c>
      <x:c r="G314" t="str">
        <x:v>Slow Internet</x:v>
      </x:c>
      <x:c r="H314" s="3" t="n">
        <x:v>7.8</x:v>
      </x:c>
      <x:c r="I314" s="3" t="n">
        <x:v>58.4</x:v>
      </x:c>
      <x:c r="J314" s="3" t="n">
        <x:v>3.2</x:v>
      </x:c>
      <x:c r="K314" t="str">
        <x:v>App</x:v>
      </x:c>
      <x:c r="L314" t="str">
        <x:v>Tech 7</x:v>
      </x:c>
    </x:row>
    <x:row r="315">
      <x:c r="A315" t="str">
        <x:v>TS-8314</x:v>
      </x:c>
      <x:c r="B315" t="str">
        <x:v>Feb</x:v>
      </x:c>
      <x:c r="C315" t="str">
        <x:v>Open</x:v>
      </x:c>
      <x:c r="D315" t="str">
        <x:v>Landline</x:v>
      </x:c>
      <x:c r="E315" t="str">
        <x:v>South</x:v>
      </x:c>
      <x:c r="F315" t="str">
        <x:v>Medium</x:v>
      </x:c>
      <x:c r="G315" t="str">
        <x:v>Service Outage</x:v>
      </x:c>
      <x:c r="H315" s="3" t="n">
        <x:v>9.1</x:v>
      </x:c>
      <x:c r="I315" s="3" t="n">
        <x:v>60.1</x:v>
      </x:c>
      <x:c r="J315" s="3" t="n">
        <x:v>4.3</x:v>
      </x:c>
      <x:c r="K315" t="str">
        <x:v>Retail</x:v>
      </x:c>
      <x:c r="L315" t="str">
        <x:v>Tech 14</x:v>
      </x:c>
    </x:row>
    <x:row r="316">
      <x:c r="A316" t="str">
        <x:v>TS-8315</x:v>
      </x:c>
      <x:c r="B316" t="str">
        <x:v>Mar</x:v>
      </x:c>
      <x:c r="C316" t="str">
        <x:v>Resolved</x:v>
      </x:c>
      <x:c r="D316" t="str">
        <x:v>TV</x:v>
      </x:c>
      <x:c r="E316" t="str">
        <x:v>East</x:v>
      </x:c>
      <x:c r="F316" t="str">
        <x:v>High</x:v>
      </x:c>
      <x:c r="G316" t="str">
        <x:v>Dropped Calls</x:v>
      </x:c>
      <x:c r="H316" s="3" t="n">
        <x:v>12.399999999999999</x:v>
      </x:c>
      <x:c r="I316" s="3" t="n">
        <x:v>69.8</x:v>
      </x:c>
      <x:c r="J316" s="3" t="n">
        <x:v>2.9</x:v>
      </x:c>
      <x:c r="K316" t="str">
        <x:v>Phone</x:v>
      </x:c>
      <x:c r="L316" t="str">
        <x:v>Tech 3</x:v>
      </x:c>
    </x:row>
    <x:row r="317">
      <x:c r="A317" t="str">
        <x:v>TS-8316</x:v>
      </x:c>
      <x:c r="B317" t="str">
        <x:v>Apr</x:v>
      </x:c>
      <x:c r="C317" t="str">
        <x:v>In Progress</x:v>
      </x:c>
      <x:c r="D317" t="str">
        <x:v>Mobile</x:v>
      </x:c>
      <x:c r="E317" t="str">
        <x:v>West</x:v>
      </x:c>
      <x:c r="F317" t="str">
        <x:v>Low</x:v>
      </x:c>
      <x:c r="G317" t="str">
        <x:v>Billing Error</x:v>
      </x:c>
      <x:c r="H317" s="3" t="n">
        <x:v>11.7</x:v>
      </x:c>
      <x:c r="I317" s="3" t="n">
        <x:v>63.5</x:v>
      </x:c>
      <x:c r="J317" s="3" t="n">
        <x:v>4</x:v>
      </x:c>
      <x:c r="K317" t="str">
        <x:v>Web</x:v>
      </x:c>
      <x:c r="L317" t="str">
        <x:v>Tech 10</x:v>
      </x:c>
    </x:row>
    <x:row r="318">
      <x:c r="A318" t="str">
        <x:v>TS-8317</x:v>
      </x:c>
      <x:c r="B318" t="str">
        <x:v>May</x:v>
      </x:c>
      <x:c r="C318" t="str">
        <x:v>Open</x:v>
      </x:c>
      <x:c r="D318" t="str">
        <x:v>Broadband</x:v>
      </x:c>
      <x:c r="E318" t="str">
        <x:v>North</x:v>
      </x:c>
      <x:c r="F318" t="str">
        <x:v>Medium</x:v>
      </x:c>
      <x:c r="G318" t="str">
        <x:v>No Signal</x:v>
      </x:c>
      <x:c r="H318" s="3" t="n">
        <x:v>13</x:v>
      </x:c>
      <x:c r="I318" s="3" t="n">
        <x:v>65.2</x:v>
      </x:c>
      <x:c r="J318" s="3" t="n">
        <x:v>2.6</x:v>
      </x:c>
      <x:c r="K318" t="str">
        <x:v>App</x:v>
      </x:c>
      <x:c r="L318" t="str">
        <x:v>Tech 17</x:v>
      </x:c>
    </x:row>
    <x:row r="319">
      <x:c r="A319" t="str">
        <x:v>TS-8318</x:v>
      </x:c>
      <x:c r="B319" t="str">
        <x:v>Jun</x:v>
      </x:c>
      <x:c r="C319" t="str">
        <x:v>Resolved</x:v>
      </x:c>
      <x:c r="D319" t="str">
        <x:v>Landline</x:v>
      </x:c>
      <x:c r="E319" t="str">
        <x:v>South</x:v>
      </x:c>
      <x:c r="F319" t="str">
        <x:v>High</x:v>
      </x:c>
      <x:c r="G319" t="str">
        <x:v>Installation Delay</x:v>
      </x:c>
      <x:c r="H319" s="3" t="n">
        <x:v>16.299999999999997</x:v>
      </x:c>
      <x:c r="I319" s="3" t="n">
        <x:v>74.9</x:v>
      </x:c>
      <x:c r="J319" s="3" t="n">
        <x:v>3.7</x:v>
      </x:c>
      <x:c r="K319" t="str">
        <x:v>Retail</x:v>
      </x:c>
      <x:c r="L319" t="str">
        <x:v>Tech 6</x:v>
      </x:c>
    </x:row>
    <x:row r="320">
      <x:c r="A320" t="str">
        <x:v>TS-8319</x:v>
      </x:c>
      <x:c r="B320" t="str">
        <x:v>Jul</x:v>
      </x:c>
      <x:c r="C320" t="str">
        <x:v>In Progress</x:v>
      </x:c>
      <x:c r="D320" t="str">
        <x:v>TV</x:v>
      </x:c>
      <x:c r="E320" t="str">
        <x:v>East</x:v>
      </x:c>
      <x:c r="F320" t="str">
        <x:v>Low</x:v>
      </x:c>
      <x:c r="G320" t="str">
        <x:v>Slow Internet</x:v>
      </x:c>
      <x:c r="H320" s="3" t="n">
        <x:v>15.6</x:v>
      </x:c>
      <x:c r="I320" s="3" t="n">
        <x:v>68.6</x:v>
      </x:c>
      <x:c r="J320" s="3" t="n">
        <x:v>4.8</x:v>
      </x:c>
      <x:c r="K320" t="str">
        <x:v>Phone</x:v>
      </x:c>
      <x:c r="L320" t="str">
        <x:v>Tech 13</x:v>
      </x:c>
    </x:row>
    <x:row r="321">
      <x:c r="A321" t="str">
        <x:v>TS-8320</x:v>
      </x:c>
      <x:c r="B321" t="str">
        <x:v>Aug</x:v>
      </x:c>
      <x:c r="C321" t="str">
        <x:v>Open</x:v>
      </x:c>
      <x:c r="D321" t="str">
        <x:v>Mobile</x:v>
      </x:c>
      <x:c r="E321" t="str">
        <x:v>West</x:v>
      </x:c>
      <x:c r="F321" t="str">
        <x:v>Medium</x:v>
      </x:c>
      <x:c r="G321" t="str">
        <x:v>Service Outage</x:v>
      </x:c>
      <x:c r="H321" s="3" t="n">
        <x:v>16.9</x:v>
      </x:c>
      <x:c r="I321" s="3" t="n">
        <x:v>70.3</x:v>
      </x:c>
      <x:c r="J321" s="3" t="n">
        <x:v>3.4</x:v>
      </x:c>
      <x:c r="K321" t="str">
        <x:v>Web</x:v>
      </x:c>
      <x:c r="L321" t="str">
        <x:v>Tech 2</x:v>
      </x:c>
    </x:row>
    <x:row r="322">
      <x:c r="A322" t="str">
        <x:v>TS-8321</x:v>
      </x:c>
      <x:c r="B322" t="str">
        <x:v>Sep</x:v>
      </x:c>
      <x:c r="C322" t="str">
        <x:v>Resolved</x:v>
      </x:c>
      <x:c r="D322" t="str">
        <x:v>Broadband</x:v>
      </x:c>
      <x:c r="E322" t="str">
        <x:v>North</x:v>
      </x:c>
      <x:c r="F322" t="str">
        <x:v>High</x:v>
      </x:c>
      <x:c r="G322" t="str">
        <x:v>Dropped Calls</x:v>
      </x:c>
      <x:c r="H322" s="3" t="n">
        <x:v>20.2</x:v>
      </x:c>
      <x:c r="I322" s="3" t="n">
        <x:v>80</x:v>
      </x:c>
      <x:c r="J322" s="3" t="n">
        <x:v>4.5</x:v>
      </x:c>
      <x:c r="K322" t="str">
        <x:v>App</x:v>
      </x:c>
      <x:c r="L322" t="str">
        <x:v>Tech 9</x:v>
      </x:c>
    </x:row>
    <x:row r="323">
      <x:c r="A323" t="str">
        <x:v>TS-8322</x:v>
      </x:c>
      <x:c r="B323" t="str">
        <x:v>Oct</x:v>
      </x:c>
      <x:c r="C323" t="str">
        <x:v>In Progress</x:v>
      </x:c>
      <x:c r="D323" t="str">
        <x:v>Landline</x:v>
      </x:c>
      <x:c r="E323" t="str">
        <x:v>South</x:v>
      </x:c>
      <x:c r="F323" t="str">
        <x:v>Low</x:v>
      </x:c>
      <x:c r="G323" t="str">
        <x:v>Billing Error</x:v>
      </x:c>
      <x:c r="H323" s="3" t="n">
        <x:v>19.5</x:v>
      </x:c>
      <x:c r="I323" s="3" t="n">
        <x:v>73.7</x:v>
      </x:c>
      <x:c r="J323" s="3" t="n">
        <x:v>3.1</x:v>
      </x:c>
      <x:c r="K323" t="str">
        <x:v>Retail</x:v>
      </x:c>
      <x:c r="L323" t="str">
        <x:v>Tech 16</x:v>
      </x:c>
    </x:row>
    <x:row r="324">
      <x:c r="A324" t="str">
        <x:v>TS-8323</x:v>
      </x:c>
      <x:c r="B324" t="str">
        <x:v>Nov</x:v>
      </x:c>
      <x:c r="C324" t="str">
        <x:v>Open</x:v>
      </x:c>
      <x:c r="D324" t="str">
        <x:v>TV</x:v>
      </x:c>
      <x:c r="E324" t="str">
        <x:v>East</x:v>
      </x:c>
      <x:c r="F324" t="str">
        <x:v>Medium</x:v>
      </x:c>
      <x:c r="G324" t="str">
        <x:v>No Signal</x:v>
      </x:c>
      <x:c r="H324" s="3" t="n">
        <x:v>20.8</x:v>
      </x:c>
      <x:c r="I324" s="3" t="n">
        <x:v>75.4</x:v>
      </x:c>
      <x:c r="J324" s="3" t="n">
        <x:v>4.2</x:v>
      </x:c>
      <x:c r="K324" t="str">
        <x:v>Phone</x:v>
      </x:c>
      <x:c r="L324" t="str">
        <x:v>Tech 5</x:v>
      </x:c>
    </x:row>
    <x:row r="325">
      <x:c r="A325" t="str">
        <x:v>TS-8324</x:v>
      </x:c>
      <x:c r="B325" t="str">
        <x:v>Dec</x:v>
      </x:c>
      <x:c r="C325" t="str">
        <x:v>Open</x:v>
      </x:c>
      <x:c r="D325" t="str">
        <x:v>Mobile</x:v>
      </x:c>
      <x:c r="E325" t="str">
        <x:v>West</x:v>
      </x:c>
      <x:c r="F325" t="str">
        <x:v>High</x:v>
      </x:c>
      <x:c r="G325" t="str">
        <x:v>Installation Delay</x:v>
      </x:c>
      <x:c r="H325" s="3" t="n">
        <x:v>24.099999999999998</x:v>
      </x:c>
      <x:c r="I325" s="3" t="n">
        <x:v>85.1</x:v>
      </x:c>
      <x:c r="J325" s="3" t="n">
        <x:v>2.8</x:v>
      </x:c>
      <x:c r="K325" t="str">
        <x:v>Web</x:v>
      </x:c>
      <x:c r="L325" t="str">
        <x:v>Tech 12</x:v>
      </x:c>
    </x:row>
    <x:row r="326">
      <x:c r="A326" t="str">
        <x:v>TS-8325</x:v>
      </x:c>
      <x:c r="B326" t="str">
        <x:v>Jan</x:v>
      </x:c>
      <x:c r="C326" t="str">
        <x:v>Resolved</x:v>
      </x:c>
      <x:c r="D326" t="str">
        <x:v>Broadband</x:v>
      </x:c>
      <x:c r="E326" t="str">
        <x:v>North</x:v>
      </x:c>
      <x:c r="F326" t="str">
        <x:v>Low</x:v>
      </x:c>
      <x:c r="G326" t="str">
        <x:v>Slow Internet</x:v>
      </x:c>
      <x:c r="H326" s="3" t="n">
        <x:v>2.4</x:v>
      </x:c>
      <x:c r="I326" s="3" t="n">
        <x:v>78.8</x:v>
      </x:c>
      <x:c r="J326" s="3" t="n">
        <x:v>3.9</x:v>
      </x:c>
      <x:c r="K326" t="str">
        <x:v>App</x:v>
      </x:c>
      <x:c r="L326" t="str">
        <x:v>Tech 1</x:v>
      </x:c>
    </x:row>
    <x:row r="327">
      <x:c r="A327" t="str">
        <x:v>TS-8326</x:v>
      </x:c>
      <x:c r="B327" t="str">
        <x:v>Feb</x:v>
      </x:c>
      <x:c r="C327" t="str">
        <x:v>In Progress</x:v>
      </x:c>
      <x:c r="D327" t="str">
        <x:v>Landline</x:v>
      </x:c>
      <x:c r="E327" t="str">
        <x:v>South</x:v>
      </x:c>
      <x:c r="F327" t="str">
        <x:v>Medium</x:v>
      </x:c>
      <x:c r="G327" t="str">
        <x:v>Service Outage</x:v>
      </x:c>
      <x:c r="H327" s="3" t="n">
        <x:v>3.7</x:v>
      </x:c>
      <x:c r="I327" s="3" t="n">
        <x:v>80.5</x:v>
      </x:c>
      <x:c r="J327" s="3" t="n">
        <x:v>2.5</x:v>
      </x:c>
      <x:c r="K327" t="str">
        <x:v>Retail</x:v>
      </x:c>
      <x:c r="L327" t="str">
        <x:v>Tech 8</x:v>
      </x:c>
    </x:row>
    <x:row r="328">
      <x:c r="A328" t="str">
        <x:v>TS-8327</x:v>
      </x:c>
      <x:c r="B328" t="str">
        <x:v>Mar</x:v>
      </x:c>
      <x:c r="C328" t="str">
        <x:v>Open</x:v>
      </x:c>
      <x:c r="D328" t="str">
        <x:v>TV</x:v>
      </x:c>
      <x:c r="E328" t="str">
        <x:v>East</x:v>
      </x:c>
      <x:c r="F328" t="str">
        <x:v>High</x:v>
      </x:c>
      <x:c r="G328" t="str">
        <x:v>Dropped Calls</x:v>
      </x:c>
      <x:c r="H328" s="3" t="n">
        <x:v>7</x:v>
      </x:c>
      <x:c r="I328" s="3" t="n">
        <x:v>90.2</x:v>
      </x:c>
      <x:c r="J328" s="3" t="n">
        <x:v>3.6</x:v>
      </x:c>
      <x:c r="K328" t="str">
        <x:v>Phone</x:v>
      </x:c>
      <x:c r="L328" t="str">
        <x:v>Tech 15</x:v>
      </x:c>
    </x:row>
    <x:row r="329">
      <x:c r="A329" t="str">
        <x:v>TS-8328</x:v>
      </x:c>
      <x:c r="B329" t="str">
        <x:v>Apr</x:v>
      </x:c>
      <x:c r="C329" t="str">
        <x:v>Resolved</x:v>
      </x:c>
      <x:c r="D329" t="str">
        <x:v>Mobile</x:v>
      </x:c>
      <x:c r="E329" t="str">
        <x:v>West</x:v>
      </x:c>
      <x:c r="F329" t="str">
        <x:v>Low</x:v>
      </x:c>
      <x:c r="G329" t="str">
        <x:v>Billing Error</x:v>
      </x:c>
      <x:c r="H329" s="3" t="n">
        <x:v>6.3</x:v>
      </x:c>
      <x:c r="I329" s="3" t="n">
        <x:v>83.9</x:v>
      </x:c>
      <x:c r="J329" s="3" t="n">
        <x:v>4.7</x:v>
      </x:c>
      <x:c r="K329" t="str">
        <x:v>Web</x:v>
      </x:c>
      <x:c r="L329" t="str">
        <x:v>Tech 4</x:v>
      </x:c>
    </x:row>
    <x:row r="330">
      <x:c r="A330" t="str">
        <x:v>TS-8329</x:v>
      </x:c>
      <x:c r="B330" t="str">
        <x:v>May</x:v>
      </x:c>
      <x:c r="C330" t="str">
        <x:v>In Progress</x:v>
      </x:c>
      <x:c r="D330" t="str">
        <x:v>Broadband</x:v>
      </x:c>
      <x:c r="E330" t="str">
        <x:v>North</x:v>
      </x:c>
      <x:c r="F330" t="str">
        <x:v>Medium</x:v>
      </x:c>
      <x:c r="G330" t="str">
        <x:v>No Signal</x:v>
      </x:c>
      <x:c r="H330" s="3" t="n">
        <x:v>7.6000000000000005</x:v>
      </x:c>
      <x:c r="I330" s="3" t="n">
        <x:v>85.6</x:v>
      </x:c>
      <x:c r="J330" s="3" t="n">
        <x:v>3.3</x:v>
      </x:c>
      <x:c r="K330" t="str">
        <x:v>App</x:v>
      </x:c>
      <x:c r="L330" t="str">
        <x:v>Tech 11</x:v>
      </x:c>
    </x:row>
    <x:row r="331">
      <x:c r="A331" t="str">
        <x:v>TS-8330</x:v>
      </x:c>
      <x:c r="B331" t="str">
        <x:v>Jun</x:v>
      </x:c>
      <x:c r="C331" t="str">
        <x:v>Open</x:v>
      </x:c>
      <x:c r="D331" t="str">
        <x:v>Landline</x:v>
      </x:c>
      <x:c r="E331" t="str">
        <x:v>South</x:v>
      </x:c>
      <x:c r="F331" t="str">
        <x:v>High</x:v>
      </x:c>
      <x:c r="G331" t="str">
        <x:v>Installation Delay</x:v>
      </x:c>
      <x:c r="H331" s="3" t="n">
        <x:v>10.9</x:v>
      </x:c>
      <x:c r="I331" s="3" t="n">
        <x:v>95.3</x:v>
      </x:c>
      <x:c r="J331" s="3" t="n">
        <x:v>4.4</x:v>
      </x:c>
      <x:c r="K331" t="str">
        <x:v>Retail</x:v>
      </x:c>
      <x:c r="L331" t="str">
        <x:v>Tech 18</x:v>
      </x:c>
    </x:row>
    <x:row r="332">
      <x:c r="A332" t="str">
        <x:v>TS-8331</x:v>
      </x:c>
      <x:c r="B332" t="str">
        <x:v>Jul</x:v>
      </x:c>
      <x:c r="C332" t="str">
        <x:v>Resolved</x:v>
      </x:c>
      <x:c r="D332" t="str">
        <x:v>TV</x:v>
      </x:c>
      <x:c r="E332" t="str">
        <x:v>East</x:v>
      </x:c>
      <x:c r="F332" t="str">
        <x:v>Low</x:v>
      </x:c>
      <x:c r="G332" t="str">
        <x:v>Slow Internet</x:v>
      </x:c>
      <x:c r="H332" s="3" t="n">
        <x:v>10.2</x:v>
      </x:c>
      <x:c r="I332" s="3" t="n">
        <x:v>89</x:v>
      </x:c>
      <x:c r="J332" s="3" t="n">
        <x:v>3</x:v>
      </x:c>
      <x:c r="K332" t="str">
        <x:v>Phone</x:v>
      </x:c>
      <x:c r="L332" t="str">
        <x:v>Tech 7</x:v>
      </x:c>
    </x:row>
    <x:row r="333">
      <x:c r="A333" t="str">
        <x:v>TS-8332</x:v>
      </x:c>
      <x:c r="B333" t="str">
        <x:v>Aug</x:v>
      </x:c>
      <x:c r="C333" t="str">
        <x:v>In Progress</x:v>
      </x:c>
      <x:c r="D333" t="str">
        <x:v>Mobile</x:v>
      </x:c>
      <x:c r="E333" t="str">
        <x:v>West</x:v>
      </x:c>
      <x:c r="F333" t="str">
        <x:v>Medium</x:v>
      </x:c>
      <x:c r="G333" t="str">
        <x:v>Service Outage</x:v>
      </x:c>
      <x:c r="H333" s="3" t="n">
        <x:v>11.5</x:v>
      </x:c>
      <x:c r="I333" s="3" t="n">
        <x:v>90.7</x:v>
      </x:c>
      <x:c r="J333" s="3" t="n">
        <x:v>4.1</x:v>
      </x:c>
      <x:c r="K333" t="str">
        <x:v>Web</x:v>
      </x:c>
      <x:c r="L333" t="str">
        <x:v>Tech 14</x:v>
      </x:c>
    </x:row>
    <x:row r="334">
      <x:c r="A334" t="str">
        <x:v>TS-8333</x:v>
      </x:c>
      <x:c r="B334" t="str">
        <x:v>Sep</x:v>
      </x:c>
      <x:c r="C334" t="str">
        <x:v>Open</x:v>
      </x:c>
      <x:c r="D334" t="str">
        <x:v>Broadband</x:v>
      </x:c>
      <x:c r="E334" t="str">
        <x:v>North</x:v>
      </x:c>
      <x:c r="F334" t="str">
        <x:v>High</x:v>
      </x:c>
      <x:c r="G334" t="str">
        <x:v>Dropped Calls</x:v>
      </x:c>
      <x:c r="H334" s="3" t="n">
        <x:v>14.799999999999999</x:v>
      </x:c>
      <x:c r="I334" s="3" t="n">
        <x:v>100.4</x:v>
      </x:c>
      <x:c r="J334" s="3" t="n">
        <x:v>2.7</x:v>
      </x:c>
      <x:c r="K334" t="str">
        <x:v>App</x:v>
      </x:c>
      <x:c r="L334" t="str">
        <x:v>Tech 3</x:v>
      </x:c>
    </x:row>
    <x:row r="335">
      <x:c r="A335" t="str">
        <x:v>TS-8334</x:v>
      </x:c>
      <x:c r="B335" t="str">
        <x:v>Oct</x:v>
      </x:c>
      <x:c r="C335" t="str">
        <x:v>Resolved</x:v>
      </x:c>
      <x:c r="D335" t="str">
        <x:v>Landline</x:v>
      </x:c>
      <x:c r="E335" t="str">
        <x:v>South</x:v>
      </x:c>
      <x:c r="F335" t="str">
        <x:v>Low</x:v>
      </x:c>
      <x:c r="G335" t="str">
        <x:v>Billing Error</x:v>
      </x:c>
      <x:c r="H335" s="3" t="n">
        <x:v>14.1</x:v>
      </x:c>
      <x:c r="I335" s="3" t="n">
        <x:v>94.1</x:v>
      </x:c>
      <x:c r="J335" s="3" t="n">
        <x:v>3.8</x:v>
      </x:c>
      <x:c r="K335" t="str">
        <x:v>Retail</x:v>
      </x:c>
      <x:c r="L335" t="str">
        <x:v>Tech 10</x:v>
      </x:c>
    </x:row>
    <x:row r="336">
      <x:c r="A336" t="str">
        <x:v>TS-8335</x:v>
      </x:c>
      <x:c r="B336" t="str">
        <x:v>Nov</x:v>
      </x:c>
      <x:c r="C336" t="str">
        <x:v>In Progress</x:v>
      </x:c>
      <x:c r="D336" t="str">
        <x:v>TV</x:v>
      </x:c>
      <x:c r="E336" t="str">
        <x:v>East</x:v>
      </x:c>
      <x:c r="F336" t="str">
        <x:v>Medium</x:v>
      </x:c>
      <x:c r="G336" t="str">
        <x:v>No Signal</x:v>
      </x:c>
      <x:c r="H336" s="3" t="n">
        <x:v>15.399999999999999</x:v>
      </x:c>
      <x:c r="I336" s="3" t="n">
        <x:v>95.8</x:v>
      </x:c>
      <x:c r="J336" s="3" t="n">
        <x:v>4.9</x:v>
      </x:c>
      <x:c r="K336" t="str">
        <x:v>Phone</x:v>
      </x:c>
      <x:c r="L336" t="str">
        <x:v>Tech 17</x:v>
      </x:c>
    </x:row>
    <x:row r="337">
      <x:c r="A337" t="str">
        <x:v>TS-8336</x:v>
      </x:c>
      <x:c r="B337" t="str">
        <x:v>Dec</x:v>
      </x:c>
      <x:c r="C337" t="str">
        <x:v>Open</x:v>
      </x:c>
      <x:c r="D337" t="str">
        <x:v>Mobile</x:v>
      </x:c>
      <x:c r="E337" t="str">
        <x:v>West</x:v>
      </x:c>
      <x:c r="F337" t="str">
        <x:v>High</x:v>
      </x:c>
      <x:c r="G337" t="str">
        <x:v>Installation Delay</x:v>
      </x:c>
      <x:c r="H337" s="3" t="n">
        <x:v>18.7</x:v>
      </x:c>
      <x:c r="I337" s="3" t="n">
        <x:v>105.5</x:v>
      </x:c>
      <x:c r="J337" s="3" t="n">
        <x:v>3.5</x:v>
      </x:c>
      <x:c r="K337" t="str">
        <x:v>Web</x:v>
      </x:c>
      <x:c r="L337" t="str">
        <x:v>Tech 6</x:v>
      </x:c>
    </x:row>
    <x:row r="338">
      <x:c r="A338" t="str">
        <x:v>TS-8337</x:v>
      </x:c>
      <x:c r="B338" t="str">
        <x:v>Jan</x:v>
      </x:c>
      <x:c r="C338" t="str">
        <x:v>Resolved</x:v>
      </x:c>
      <x:c r="D338" t="str">
        <x:v>Broadband</x:v>
      </x:c>
      <x:c r="E338" t="str">
        <x:v>North</x:v>
      </x:c>
      <x:c r="F338" t="str">
        <x:v>Low</x:v>
      </x:c>
      <x:c r="G338" t="str">
        <x:v>Slow Internet</x:v>
      </x:c>
      <x:c r="H338" s="3" t="n">
        <x:v>18</x:v>
      </x:c>
      <x:c r="I338" s="3" t="n">
        <x:v>99.2</x:v>
      </x:c>
      <x:c r="J338" s="3" t="n">
        <x:v>4.6</x:v>
      </x:c>
      <x:c r="K338" t="str">
        <x:v>App</x:v>
      </x:c>
      <x:c r="L338" t="str">
        <x:v>Tech 13</x:v>
      </x:c>
    </x:row>
    <x:row r="339">
      <x:c r="A339" t="str">
        <x:v>TS-8338</x:v>
      </x:c>
      <x:c r="B339" t="str">
        <x:v>Feb</x:v>
      </x:c>
      <x:c r="C339" t="str">
        <x:v>In Progress</x:v>
      </x:c>
      <x:c r="D339" t="str">
        <x:v>Landline</x:v>
      </x:c>
      <x:c r="E339" t="str">
        <x:v>South</x:v>
      </x:c>
      <x:c r="F339" t="str">
        <x:v>Medium</x:v>
      </x:c>
      <x:c r="G339" t="str">
        <x:v>Service Outage</x:v>
      </x:c>
      <x:c r="H339" s="3" t="n">
        <x:v>19.3</x:v>
      </x:c>
      <x:c r="I339" s="3" t="n">
        <x:v>100.9</x:v>
      </x:c>
      <x:c r="J339" s="3" t="n">
        <x:v>3.2</x:v>
      </x:c>
      <x:c r="K339" t="str">
        <x:v>Retail</x:v>
      </x:c>
      <x:c r="L339" t="str">
        <x:v>Tech 2</x:v>
      </x:c>
    </x:row>
    <x:row r="340">
      <x:c r="A340" t="str">
        <x:v>TS-8339</x:v>
      </x:c>
      <x:c r="B340" t="str">
        <x:v>Mar</x:v>
      </x:c>
      <x:c r="C340" t="str">
        <x:v>Open</x:v>
      </x:c>
      <x:c r="D340" t="str">
        <x:v>TV</x:v>
      </x:c>
      <x:c r="E340" t="str">
        <x:v>East</x:v>
      </x:c>
      <x:c r="F340" t="str">
        <x:v>High</x:v>
      </x:c>
      <x:c r="G340" t="str">
        <x:v>Dropped Calls</x:v>
      </x:c>
      <x:c r="H340" s="3" t="n">
        <x:v>22.599999999999998</x:v>
      </x:c>
      <x:c r="I340" s="3" t="n">
        <x:v>110.6</x:v>
      </x:c>
      <x:c r="J340" s="3" t="n">
        <x:v>4.3</x:v>
      </x:c>
      <x:c r="K340" t="str">
        <x:v>Phone</x:v>
      </x:c>
      <x:c r="L340" t="str">
        <x:v>Tech 9</x:v>
      </x:c>
    </x:row>
    <x:row r="341">
      <x:c r="A341" t="str">
        <x:v>TS-8340</x:v>
      </x:c>
      <x:c r="B341" t="str">
        <x:v>Apr</x:v>
      </x:c>
      <x:c r="C341" t="str">
        <x:v>Resolved</x:v>
      </x:c>
      <x:c r="D341" t="str">
        <x:v>Mobile</x:v>
      </x:c>
      <x:c r="E341" t="str">
        <x:v>West</x:v>
      </x:c>
      <x:c r="F341" t="str">
        <x:v>Low</x:v>
      </x:c>
      <x:c r="G341" t="str">
        <x:v>Billing Error</x:v>
      </x:c>
      <x:c r="H341" s="3" t="n">
        <x:v>21.9</x:v>
      </x:c>
      <x:c r="I341" s="3" t="n">
        <x:v>8.3</x:v>
      </x:c>
      <x:c r="J341" s="3" t="n">
        <x:v>2.9</x:v>
      </x:c>
      <x:c r="K341" t="str">
        <x:v>Web</x:v>
      </x:c>
      <x:c r="L341" t="str">
        <x:v>Tech 16</x:v>
      </x:c>
    </x:row>
    <x:row r="342">
      <x:c r="A342" t="str">
        <x:v>TS-8341</x:v>
      </x:c>
      <x:c r="B342" t="str">
        <x:v>May</x:v>
      </x:c>
      <x:c r="C342" t="str">
        <x:v>In Progress</x:v>
      </x:c>
      <x:c r="D342" t="str">
        <x:v>Broadband</x:v>
      </x:c>
      <x:c r="E342" t="str">
        <x:v>North</x:v>
      </x:c>
      <x:c r="F342" t="str">
        <x:v>Medium</x:v>
      </x:c>
      <x:c r="G342" t="str">
        <x:v>No Signal</x:v>
      </x:c>
      <x:c r="H342" s="3" t="n">
        <x:v>2.2</x:v>
      </x:c>
      <x:c r="I342" s="3" t="n">
        <x:v>10</x:v>
      </x:c>
      <x:c r="J342" s="3" t="n">
        <x:v>4</x:v>
      </x:c>
      <x:c r="K342" t="str">
        <x:v>App</x:v>
      </x:c>
      <x:c r="L342" t="str">
        <x:v>Tech 5</x:v>
      </x:c>
    </x:row>
    <x:row r="343">
      <x:c r="A343" t="str">
        <x:v>TS-8342</x:v>
      </x:c>
      <x:c r="B343" t="str">
        <x:v>Jun</x:v>
      </x:c>
      <x:c r="C343" t="str">
        <x:v>Open</x:v>
      </x:c>
      <x:c r="D343" t="str">
        <x:v>Landline</x:v>
      </x:c>
      <x:c r="E343" t="str">
        <x:v>South</x:v>
      </x:c>
      <x:c r="F343" t="str">
        <x:v>High</x:v>
      </x:c>
      <x:c r="G343" t="str">
        <x:v>Installation Delay</x:v>
      </x:c>
      <x:c r="H343" s="3" t="n">
        <x:v>5.5</x:v>
      </x:c>
      <x:c r="I343" s="3" t="n">
        <x:v>19.7</x:v>
      </x:c>
      <x:c r="J343" s="3" t="n">
        <x:v>2.6</x:v>
      </x:c>
      <x:c r="K343" t="str">
        <x:v>Retail</x:v>
      </x:c>
      <x:c r="L343" t="str">
        <x:v>Tech 12</x:v>
      </x:c>
    </x:row>
    <x:row r="344">
      <x:c r="A344" t="str">
        <x:v>TS-8343</x:v>
      </x:c>
      <x:c r="B344" t="str">
        <x:v>Jul</x:v>
      </x:c>
      <x:c r="C344" t="str">
        <x:v>Open</x:v>
      </x:c>
      <x:c r="D344" t="str">
        <x:v>TV</x:v>
      </x:c>
      <x:c r="E344" t="str">
        <x:v>East</x:v>
      </x:c>
      <x:c r="F344" t="str">
        <x:v>Low</x:v>
      </x:c>
      <x:c r="G344" t="str">
        <x:v>Slow Internet</x:v>
      </x:c>
      <x:c r="H344" s="3" t="n">
        <x:v>4.8</x:v>
      </x:c>
      <x:c r="I344" s="3" t="n">
        <x:v>13.4</x:v>
      </x:c>
      <x:c r="J344" s="3" t="n">
        <x:v>3.7</x:v>
      </x:c>
      <x:c r="K344" t="str">
        <x:v>Phone</x:v>
      </x:c>
      <x:c r="L344" t="str">
        <x:v>Tech 1</x:v>
      </x:c>
    </x:row>
    <x:row r="345">
      <x:c r="A345" t="str">
        <x:v>TS-8344</x:v>
      </x:c>
      <x:c r="B345" t="str">
        <x:v>Aug</x:v>
      </x:c>
      <x:c r="C345" t="str">
        <x:v>Resolved</x:v>
      </x:c>
      <x:c r="D345" t="str">
        <x:v>Mobile</x:v>
      </x:c>
      <x:c r="E345" t="str">
        <x:v>West</x:v>
      </x:c>
      <x:c r="F345" t="str">
        <x:v>Medium</x:v>
      </x:c>
      <x:c r="G345" t="str">
        <x:v>Service Outage</x:v>
      </x:c>
      <x:c r="H345" s="3" t="n">
        <x:v>6.1000000000000005</x:v>
      </x:c>
      <x:c r="I345" s="3" t="n">
        <x:v>15.1</x:v>
      </x:c>
      <x:c r="J345" s="3" t="n">
        <x:v>4.8</x:v>
      </x:c>
      <x:c r="K345" t="str">
        <x:v>Web</x:v>
      </x:c>
      <x:c r="L345" t="str">
        <x:v>Tech 8</x:v>
      </x:c>
    </x:row>
    <x:row r="346">
      <x:c r="A346" t="str">
        <x:v>TS-8345</x:v>
      </x:c>
      <x:c r="B346" t="str">
        <x:v>Sep</x:v>
      </x:c>
      <x:c r="C346" t="str">
        <x:v>In Progress</x:v>
      </x:c>
      <x:c r="D346" t="str">
        <x:v>Broadband</x:v>
      </x:c>
      <x:c r="E346" t="str">
        <x:v>North</x:v>
      </x:c>
      <x:c r="F346" t="str">
        <x:v>High</x:v>
      </x:c>
      <x:c r="G346" t="str">
        <x:v>Dropped Calls</x:v>
      </x:c>
      <x:c r="H346" s="3" t="n">
        <x:v>9.4</x:v>
      </x:c>
      <x:c r="I346" s="3" t="n">
        <x:v>24.8</x:v>
      </x:c>
      <x:c r="J346" s="3" t="n">
        <x:v>3.4</x:v>
      </x:c>
      <x:c r="K346" t="str">
        <x:v>App</x:v>
      </x:c>
      <x:c r="L346" t="str">
        <x:v>Tech 15</x:v>
      </x:c>
    </x:row>
    <x:row r="347">
      <x:c r="A347" t="str">
        <x:v>TS-8346</x:v>
      </x:c>
      <x:c r="B347" t="str">
        <x:v>Oct</x:v>
      </x:c>
      <x:c r="C347" t="str">
        <x:v>Open</x:v>
      </x:c>
      <x:c r="D347" t="str">
        <x:v>Landline</x:v>
      </x:c>
      <x:c r="E347" t="str">
        <x:v>South</x:v>
      </x:c>
      <x:c r="F347" t="str">
        <x:v>Low</x:v>
      </x:c>
      <x:c r="G347" t="str">
        <x:v>Billing Error</x:v>
      </x:c>
      <x:c r="H347" s="3" t="n">
        <x:v>8.7</x:v>
      </x:c>
      <x:c r="I347" s="3" t="n">
        <x:v>18.5</x:v>
      </x:c>
      <x:c r="J347" s="3" t="n">
        <x:v>4.5</x:v>
      </x:c>
      <x:c r="K347" t="str">
        <x:v>Retail</x:v>
      </x:c>
      <x:c r="L347" t="str">
        <x:v>Tech 4</x:v>
      </x:c>
    </x:row>
    <x:row r="348">
      <x:c r="A348" t="str">
        <x:v>TS-8347</x:v>
      </x:c>
      <x:c r="B348" t="str">
        <x:v>Nov</x:v>
      </x:c>
      <x:c r="C348" t="str">
        <x:v>Resolved</x:v>
      </x:c>
      <x:c r="D348" t="str">
        <x:v>TV</x:v>
      </x:c>
      <x:c r="E348" t="str">
        <x:v>East</x:v>
      </x:c>
      <x:c r="F348" t="str">
        <x:v>Medium</x:v>
      </x:c>
      <x:c r="G348" t="str">
        <x:v>No Signal</x:v>
      </x:c>
      <x:c r="H348" s="3" t="n">
        <x:v>10</x:v>
      </x:c>
      <x:c r="I348" s="3" t="n">
        <x:v>20.2</x:v>
      </x:c>
      <x:c r="J348" s="3" t="n">
        <x:v>3.1</x:v>
      </x:c>
      <x:c r="K348" t="str">
        <x:v>Phone</x:v>
      </x:c>
      <x:c r="L348" t="str">
        <x:v>Tech 11</x:v>
      </x:c>
    </x:row>
    <x:row r="349">
      <x:c r="A349" t="str">
        <x:v>TS-8348</x:v>
      </x:c>
      <x:c r="B349" t="str">
        <x:v>Dec</x:v>
      </x:c>
      <x:c r="C349" t="str">
        <x:v>In Progress</x:v>
      </x:c>
      <x:c r="D349" t="str">
        <x:v>Mobile</x:v>
      </x:c>
      <x:c r="E349" t="str">
        <x:v>West</x:v>
      </x:c>
      <x:c r="F349" t="str">
        <x:v>High</x:v>
      </x:c>
      <x:c r="G349" t="str">
        <x:v>Installation Delay</x:v>
      </x:c>
      <x:c r="H349" s="3" t="n">
        <x:v>13.299999999999999</x:v>
      </x:c>
      <x:c r="I349" s="3" t="n">
        <x:v>29.9</x:v>
      </x:c>
      <x:c r="J349" s="3" t="n">
        <x:v>4.2</x:v>
      </x:c>
      <x:c r="K349" t="str">
        <x:v>Web</x:v>
      </x:c>
      <x:c r="L349" t="str">
        <x:v>Tech 18</x:v>
      </x:c>
    </x:row>
    <x:row r="350">
      <x:c r="A350" t="str">
        <x:v>TS-8349</x:v>
      </x:c>
      <x:c r="B350" t="str">
        <x:v>Jan</x:v>
      </x:c>
      <x:c r="C350" t="str">
        <x:v>Open</x:v>
      </x:c>
      <x:c r="D350" t="str">
        <x:v>Broadband</x:v>
      </x:c>
      <x:c r="E350" t="str">
        <x:v>North</x:v>
      </x:c>
      <x:c r="F350" t="str">
        <x:v>Low</x:v>
      </x:c>
      <x:c r="G350" t="str">
        <x:v>Slow Internet</x:v>
      </x:c>
      <x:c r="H350" s="3" t="n">
        <x:v>12.6</x:v>
      </x:c>
      <x:c r="I350" s="3" t="n">
        <x:v>23.6</x:v>
      </x:c>
      <x:c r="J350" s="3" t="n">
        <x:v>2.8</x:v>
      </x:c>
      <x:c r="K350" t="str">
        <x:v>App</x:v>
      </x:c>
      <x:c r="L350" t="str">
        <x:v>Tech 7</x:v>
      </x:c>
    </x:row>
    <x:row r="351">
      <x:c r="A351" t="str">
        <x:v>TS-8350</x:v>
      </x:c>
      <x:c r="B351" t="str">
        <x:v>Feb</x:v>
      </x:c>
      <x:c r="C351" t="str">
        <x:v>Resolved</x:v>
      </x:c>
      <x:c r="D351" t="str">
        <x:v>Landline</x:v>
      </x:c>
      <x:c r="E351" t="str">
        <x:v>South</x:v>
      </x:c>
      <x:c r="F351" t="str">
        <x:v>Medium</x:v>
      </x:c>
      <x:c r="G351" t="str">
        <x:v>Service Outage</x:v>
      </x:c>
      <x:c r="H351" s="3" t="n">
        <x:v>13.899999999999999</x:v>
      </x:c>
      <x:c r="I351" s="3" t="n">
        <x:v>25.3</x:v>
      </x:c>
      <x:c r="J351" s="3" t="n">
        <x:v>3.9</x:v>
      </x:c>
      <x:c r="K351" t="str">
        <x:v>Retail</x:v>
      </x:c>
      <x:c r="L351" t="str">
        <x:v>Tech 14</x:v>
      </x:c>
    </x:row>
    <x:row r="352">
      <x:c r="A352" t="str">
        <x:v>TS-8351</x:v>
      </x:c>
      <x:c r="B352" t="str">
        <x:v>Mar</x:v>
      </x:c>
      <x:c r="C352" t="str">
        <x:v>In Progress</x:v>
      </x:c>
      <x:c r="D352" t="str">
        <x:v>TV</x:v>
      </x:c>
      <x:c r="E352" t="str">
        <x:v>East</x:v>
      </x:c>
      <x:c r="F352" t="str">
        <x:v>High</x:v>
      </x:c>
      <x:c r="G352" t="str">
        <x:v>Dropped Calls</x:v>
      </x:c>
      <x:c r="H352" s="3" t="n">
        <x:v>17.2</x:v>
      </x:c>
      <x:c r="I352" s="3" t="n">
        <x:v>35</x:v>
      </x:c>
      <x:c r="J352" s="3" t="n">
        <x:v>2.5</x:v>
      </x:c>
      <x:c r="K352" t="str">
        <x:v>Phone</x:v>
      </x:c>
      <x:c r="L352" t="str">
        <x:v>Tech 3</x:v>
      </x:c>
    </x:row>
    <x:row r="353">
      <x:c r="A353" t="str">
        <x:v>TS-8352</x:v>
      </x:c>
      <x:c r="B353" t="str">
        <x:v>Apr</x:v>
      </x:c>
      <x:c r="C353" t="str">
        <x:v>Open</x:v>
      </x:c>
      <x:c r="D353" t="str">
        <x:v>Mobile</x:v>
      </x:c>
      <x:c r="E353" t="str">
        <x:v>West</x:v>
      </x:c>
      <x:c r="F353" t="str">
        <x:v>Low</x:v>
      </x:c>
      <x:c r="G353" t="str">
        <x:v>Billing Error</x:v>
      </x:c>
      <x:c r="H353" s="3" t="n">
        <x:v>16.5</x:v>
      </x:c>
      <x:c r="I353" s="3" t="n">
        <x:v>28.7</x:v>
      </x:c>
      <x:c r="J353" s="3" t="n">
        <x:v>3.6</x:v>
      </x:c>
      <x:c r="K353" t="str">
        <x:v>Web</x:v>
      </x:c>
      <x:c r="L353" t="str">
        <x:v>Tech 10</x:v>
      </x:c>
    </x:row>
    <x:row r="354">
      <x:c r="A354" t="str">
        <x:v>TS-8353</x:v>
      </x:c>
      <x:c r="B354" t="str">
        <x:v>May</x:v>
      </x:c>
      <x:c r="C354" t="str">
        <x:v>Resolved</x:v>
      </x:c>
      <x:c r="D354" t="str">
        <x:v>Broadband</x:v>
      </x:c>
      <x:c r="E354" t="str">
        <x:v>North</x:v>
      </x:c>
      <x:c r="F354" t="str">
        <x:v>Medium</x:v>
      </x:c>
      <x:c r="G354" t="str">
        <x:v>No Signal</x:v>
      </x:c>
      <x:c r="H354" s="3" t="n">
        <x:v>17.8</x:v>
      </x:c>
      <x:c r="I354" s="3" t="n">
        <x:v>30.4</x:v>
      </x:c>
      <x:c r="J354" s="3" t="n">
        <x:v>4.7</x:v>
      </x:c>
      <x:c r="K354" t="str">
        <x:v>App</x:v>
      </x:c>
      <x:c r="L354" t="str">
        <x:v>Tech 17</x:v>
      </x:c>
    </x:row>
    <x:row r="355">
      <x:c r="A355" t="str">
        <x:v>TS-8354</x:v>
      </x:c>
      <x:c r="B355" t="str">
        <x:v>Jun</x:v>
      </x:c>
      <x:c r="C355" t="str">
        <x:v>In Progress</x:v>
      </x:c>
      <x:c r="D355" t="str">
        <x:v>Landline</x:v>
      </x:c>
      <x:c r="E355" t="str">
        <x:v>South</x:v>
      </x:c>
      <x:c r="F355" t="str">
        <x:v>High</x:v>
      </x:c>
      <x:c r="G355" t="str">
        <x:v>Installation Delay</x:v>
      </x:c>
      <x:c r="H355" s="3" t="n">
        <x:v>21.099999999999998</x:v>
      </x:c>
      <x:c r="I355" s="3" t="n">
        <x:v>40.1</x:v>
      </x:c>
      <x:c r="J355" s="3" t="n">
        <x:v>3.3</x:v>
      </x:c>
      <x:c r="K355" t="str">
        <x:v>Retail</x:v>
      </x:c>
      <x:c r="L355" t="str">
        <x:v>Tech 6</x:v>
      </x:c>
    </x:row>
    <x:row r="356">
      <x:c r="A356" t="str">
        <x:v>TS-8355</x:v>
      </x:c>
      <x:c r="B356" t="str">
        <x:v>Jul</x:v>
      </x:c>
      <x:c r="C356" t="str">
        <x:v>Open</x:v>
      </x:c>
      <x:c r="D356" t="str">
        <x:v>TV</x:v>
      </x:c>
      <x:c r="E356" t="str">
        <x:v>East</x:v>
      </x:c>
      <x:c r="F356" t="str">
        <x:v>Low</x:v>
      </x:c>
      <x:c r="G356" t="str">
        <x:v>Slow Internet</x:v>
      </x:c>
      <x:c r="H356" s="3" t="n">
        <x:v>20.4</x:v>
      </x:c>
      <x:c r="I356" s="3" t="n">
        <x:v>33.8</x:v>
      </x:c>
      <x:c r="J356" s="3" t="n">
        <x:v>4.4</x:v>
      </x:c>
      <x:c r="K356" t="str">
        <x:v>Phone</x:v>
      </x:c>
      <x:c r="L356" t="str">
        <x:v>Tech 13</x:v>
      </x:c>
    </x:row>
    <x:row r="357">
      <x:c r="A357" t="str">
        <x:v>TS-8356</x:v>
      </x:c>
      <x:c r="B357" t="str">
        <x:v>Aug</x:v>
      </x:c>
      <x:c r="C357" t="str">
        <x:v>Resolved</x:v>
      </x:c>
      <x:c r="D357" t="str">
        <x:v>Mobile</x:v>
      </x:c>
      <x:c r="E357" t="str">
        <x:v>West</x:v>
      </x:c>
      <x:c r="F357" t="str">
        <x:v>Medium</x:v>
      </x:c>
      <x:c r="G357" t="str">
        <x:v>Service Outage</x:v>
      </x:c>
      <x:c r="H357" s="3" t="n">
        <x:v>21.7</x:v>
      </x:c>
      <x:c r="I357" s="3" t="n">
        <x:v>35.5</x:v>
      </x:c>
      <x:c r="J357" s="3" t="n">
        <x:v>3</x:v>
      </x:c>
      <x:c r="K357" t="str">
        <x:v>Web</x:v>
      </x:c>
      <x:c r="L357" t="str">
        <x:v>Tech 2</x:v>
      </x:c>
    </x:row>
    <x:row r="358">
      <x:c r="A358" t="str">
        <x:v>TS-8357</x:v>
      </x:c>
      <x:c r="B358" t="str">
        <x:v>Sep</x:v>
      </x:c>
      <x:c r="C358" t="str">
        <x:v>In Progress</x:v>
      </x:c>
      <x:c r="D358" t="str">
        <x:v>Broadband</x:v>
      </x:c>
      <x:c r="E358" t="str">
        <x:v>North</x:v>
      </x:c>
      <x:c r="F358" t="str">
        <x:v>High</x:v>
      </x:c>
      <x:c r="G358" t="str">
        <x:v>Dropped Calls</x:v>
      </x:c>
      <x:c r="H358" s="3" t="n">
        <x:v>4</x:v>
      </x:c>
      <x:c r="I358" s="3" t="n">
        <x:v>45.2</x:v>
      </x:c>
      <x:c r="J358" s="3" t="n">
        <x:v>4.1</x:v>
      </x:c>
      <x:c r="K358" t="str">
        <x:v>App</x:v>
      </x:c>
      <x:c r="L358" t="str">
        <x:v>Tech 9</x:v>
      </x:c>
    </x:row>
    <x:row r="359">
      <x:c r="A359" t="str">
        <x:v>TS-8358</x:v>
      </x:c>
      <x:c r="B359" t="str">
        <x:v>Oct</x:v>
      </x:c>
      <x:c r="C359" t="str">
        <x:v>Open</x:v>
      </x:c>
      <x:c r="D359" t="str">
        <x:v>Landline</x:v>
      </x:c>
      <x:c r="E359" t="str">
        <x:v>South</x:v>
      </x:c>
      <x:c r="F359" t="str">
        <x:v>Low</x:v>
      </x:c>
      <x:c r="G359" t="str">
        <x:v>Billing Error</x:v>
      </x:c>
      <x:c r="H359" s="3" t="n">
        <x:v>3.3</x:v>
      </x:c>
      <x:c r="I359" s="3" t="n">
        <x:v>38.9</x:v>
      </x:c>
      <x:c r="J359" s="3" t="n">
        <x:v>2.7</x:v>
      </x:c>
      <x:c r="K359" t="str">
        <x:v>Retail</x:v>
      </x:c>
      <x:c r="L359" t="str">
        <x:v>Tech 16</x:v>
      </x:c>
    </x:row>
    <x:row r="360">
      <x:c r="A360" t="str">
        <x:v>TS-8359</x:v>
      </x:c>
      <x:c r="B360" t="str">
        <x:v>Nov</x:v>
      </x:c>
      <x:c r="C360" t="str">
        <x:v>Resolved</x:v>
      </x:c>
      <x:c r="D360" t="str">
        <x:v>TV</x:v>
      </x:c>
      <x:c r="E360" t="str">
        <x:v>East</x:v>
      </x:c>
      <x:c r="F360" t="str">
        <x:v>Medium</x:v>
      </x:c>
      <x:c r="G360" t="str">
        <x:v>No Signal</x:v>
      </x:c>
      <x:c r="H360" s="3" t="n">
        <x:v>4.6</x:v>
      </x:c>
      <x:c r="I360" s="3" t="n">
        <x:v>40.6</x:v>
      </x:c>
      <x:c r="J360" s="3" t="n">
        <x:v>3.8</x:v>
      </x:c>
      <x:c r="K360" t="str">
        <x:v>Phone</x:v>
      </x:c>
      <x:c r="L360" t="str">
        <x:v>Tech 5</x:v>
      </x:c>
    </x:row>
    <x:row r="361">
      <x:c r="A361" t="str">
        <x:v>TS-8360</x:v>
      </x:c>
      <x:c r="B361" t="str">
        <x:v>Dec</x:v>
      </x:c>
      <x:c r="C361" t="str">
        <x:v>In Progress</x:v>
      </x:c>
      <x:c r="D361" t="str">
        <x:v>Mobile</x:v>
      </x:c>
      <x:c r="E361" t="str">
        <x:v>West</x:v>
      </x:c>
      <x:c r="F361" t="str">
        <x:v>High</x:v>
      </x:c>
      <x:c r="G361" t="str">
        <x:v>Installation Delay</x:v>
      </x:c>
      <x:c r="H361" s="3" t="n">
        <x:v>7.9</x:v>
      </x:c>
      <x:c r="I361" s="3" t="n">
        <x:v>50.3</x:v>
      </x:c>
      <x:c r="J361" s="3" t="n">
        <x:v>4.9</x:v>
      </x:c>
      <x:c r="K361" t="str">
        <x:v>Web</x:v>
      </x:c>
      <x:c r="L361" t="str">
        <x:v>Tech 12</x:v>
      </x:c>
    </x:row>
    <x:row r="362">
      <x:c r="A362" t="str">
        <x:v>TS-8361</x:v>
      </x:c>
      <x:c r="B362" t="str">
        <x:v>Jan</x:v>
      </x:c>
      <x:c r="C362" t="str">
        <x:v>Open</x:v>
      </x:c>
      <x:c r="D362" t="str">
        <x:v>Broadband</x:v>
      </x:c>
      <x:c r="E362" t="str">
        <x:v>North</x:v>
      </x:c>
      <x:c r="F362" t="str">
        <x:v>Low</x:v>
      </x:c>
      <x:c r="G362" t="str">
        <x:v>Slow Internet</x:v>
      </x:c>
      <x:c r="H362" s="3" t="n">
        <x:v>7.2</x:v>
      </x:c>
      <x:c r="I362" s="3" t="n">
        <x:v>44</x:v>
      </x:c>
      <x:c r="J362" s="3" t="n">
        <x:v>3.5</x:v>
      </x:c>
      <x:c r="K362" t="str">
        <x:v>App</x:v>
      </x:c>
      <x:c r="L362" t="str">
        <x:v>Tech 1</x:v>
      </x:c>
    </x:row>
    <x:row r="363">
      <x:c r="A363" t="str">
        <x:v>TS-8362</x:v>
      </x:c>
      <x:c r="B363" t="str">
        <x:v>Feb</x:v>
      </x:c>
      <x:c r="C363" t="str">
        <x:v>Open</x:v>
      </x:c>
      <x:c r="D363" t="str">
        <x:v>Landline</x:v>
      </x:c>
      <x:c r="E363" t="str">
        <x:v>South</x:v>
      </x:c>
      <x:c r="F363" t="str">
        <x:v>Medium</x:v>
      </x:c>
      <x:c r="G363" t="str">
        <x:v>Service Outage</x:v>
      </x:c>
      <x:c r="H363" s="3" t="n">
        <x:v>8.5</x:v>
      </x:c>
      <x:c r="I363" s="3" t="n">
        <x:v>45.7</x:v>
      </x:c>
      <x:c r="J363" s="3" t="n">
        <x:v>4.6</x:v>
      </x:c>
      <x:c r="K363" t="str">
        <x:v>Retail</x:v>
      </x:c>
      <x:c r="L363" t="str">
        <x:v>Tech 8</x:v>
      </x:c>
    </x:row>
    <x:row r="364">
      <x:c r="A364" t="str">
        <x:v>TS-8363</x:v>
      </x:c>
      <x:c r="B364" t="str">
        <x:v>Mar</x:v>
      </x:c>
      <x:c r="C364" t="str">
        <x:v>Resolved</x:v>
      </x:c>
      <x:c r="D364" t="str">
        <x:v>TV</x:v>
      </x:c>
      <x:c r="E364" t="str">
        <x:v>East</x:v>
      </x:c>
      <x:c r="F364" t="str">
        <x:v>High</x:v>
      </x:c>
      <x:c r="G364" t="str">
        <x:v>Dropped Calls</x:v>
      </x:c>
      <x:c r="H364" s="3" t="n">
        <x:v>11.799999999999999</x:v>
      </x:c>
      <x:c r="I364" s="3" t="n">
        <x:v>55.4</x:v>
      </x:c>
      <x:c r="J364" s="3" t="n">
        <x:v>3.2</x:v>
      </x:c>
      <x:c r="K364" t="str">
        <x:v>Phone</x:v>
      </x:c>
      <x:c r="L364" t="str">
        <x:v>Tech 15</x:v>
      </x:c>
    </x:row>
    <x:row r="365">
      <x:c r="A365" t="str">
        <x:v>TS-8364</x:v>
      </x:c>
      <x:c r="B365" t="str">
        <x:v>Apr</x:v>
      </x:c>
      <x:c r="C365" t="str">
        <x:v>In Progress</x:v>
      </x:c>
      <x:c r="D365" t="str">
        <x:v>Mobile</x:v>
      </x:c>
      <x:c r="E365" t="str">
        <x:v>West</x:v>
      </x:c>
      <x:c r="F365" t="str">
        <x:v>Low</x:v>
      </x:c>
      <x:c r="G365" t="str">
        <x:v>Billing Error</x:v>
      </x:c>
      <x:c r="H365" s="3" t="n">
        <x:v>11.1</x:v>
      </x:c>
      <x:c r="I365" s="3" t="n">
        <x:v>49.1</x:v>
      </x:c>
      <x:c r="J365" s="3" t="n">
        <x:v>4.3</x:v>
      </x:c>
      <x:c r="K365" t="str">
        <x:v>Web</x:v>
      </x:c>
      <x:c r="L365" t="str">
        <x:v>Tech 4</x:v>
      </x:c>
    </x:row>
    <x:row r="366">
      <x:c r="A366" t="str">
        <x:v>TS-8365</x:v>
      </x:c>
      <x:c r="B366" t="str">
        <x:v>May</x:v>
      </x:c>
      <x:c r="C366" t="str">
        <x:v>Open</x:v>
      </x:c>
      <x:c r="D366" t="str">
        <x:v>Broadband</x:v>
      </x:c>
      <x:c r="E366" t="str">
        <x:v>North</x:v>
      </x:c>
      <x:c r="F366" t="str">
        <x:v>Medium</x:v>
      </x:c>
      <x:c r="G366" t="str">
        <x:v>No Signal</x:v>
      </x:c>
      <x:c r="H366" s="3" t="n">
        <x:v>12.399999999999999</x:v>
      </x:c>
      <x:c r="I366" s="3" t="n">
        <x:v>50.8</x:v>
      </x:c>
      <x:c r="J366" s="3" t="n">
        <x:v>2.9</x:v>
      </x:c>
      <x:c r="K366" t="str">
        <x:v>App</x:v>
      </x:c>
      <x:c r="L366" t="str">
        <x:v>Tech 11</x:v>
      </x:c>
    </x:row>
    <x:row r="367">
      <x:c r="A367" t="str">
        <x:v>TS-8366</x:v>
      </x:c>
      <x:c r="B367" t="str">
        <x:v>Jun</x:v>
      </x:c>
      <x:c r="C367" t="str">
        <x:v>Resolved</x:v>
      </x:c>
      <x:c r="D367" t="str">
        <x:v>Landline</x:v>
      </x:c>
      <x:c r="E367" t="str">
        <x:v>South</x:v>
      </x:c>
      <x:c r="F367" t="str">
        <x:v>High</x:v>
      </x:c>
      <x:c r="G367" t="str">
        <x:v>Installation Delay</x:v>
      </x:c>
      <x:c r="H367" s="3" t="n">
        <x:v>15.7</x:v>
      </x:c>
      <x:c r="I367" s="3" t="n">
        <x:v>60.5</x:v>
      </x:c>
      <x:c r="J367" s="3" t="n">
        <x:v>4</x:v>
      </x:c>
      <x:c r="K367" t="str">
        <x:v>Retail</x:v>
      </x:c>
      <x:c r="L367" t="str">
        <x:v>Tech 18</x:v>
      </x:c>
    </x:row>
    <x:row r="368">
      <x:c r="A368" t="str">
        <x:v>TS-8367</x:v>
      </x:c>
      <x:c r="B368" t="str">
        <x:v>Jul</x:v>
      </x:c>
      <x:c r="C368" t="str">
        <x:v>In Progress</x:v>
      </x:c>
      <x:c r="D368" t="str">
        <x:v>TV</x:v>
      </x:c>
      <x:c r="E368" t="str">
        <x:v>East</x:v>
      </x:c>
      <x:c r="F368" t="str">
        <x:v>Low</x:v>
      </x:c>
      <x:c r="G368" t="str">
        <x:v>Slow Internet</x:v>
      </x:c>
      <x:c r="H368" s="3" t="n">
        <x:v>15</x:v>
      </x:c>
      <x:c r="I368" s="3" t="n">
        <x:v>54.2</x:v>
      </x:c>
      <x:c r="J368" s="3" t="n">
        <x:v>2.6</x:v>
      </x:c>
      <x:c r="K368" t="str">
        <x:v>Phone</x:v>
      </x:c>
      <x:c r="L368" t="str">
        <x:v>Tech 7</x:v>
      </x:c>
    </x:row>
    <x:row r="369">
      <x:c r="A369" t="str">
        <x:v>TS-8368</x:v>
      </x:c>
      <x:c r="B369" t="str">
        <x:v>Aug</x:v>
      </x:c>
      <x:c r="C369" t="str">
        <x:v>Open</x:v>
      </x:c>
      <x:c r="D369" t="str">
        <x:v>Mobile</x:v>
      </x:c>
      <x:c r="E369" t="str">
        <x:v>West</x:v>
      </x:c>
      <x:c r="F369" t="str">
        <x:v>Medium</x:v>
      </x:c>
      <x:c r="G369" t="str">
        <x:v>Service Outage</x:v>
      </x:c>
      <x:c r="H369" s="3" t="n">
        <x:v>16.3</x:v>
      </x:c>
      <x:c r="I369" s="3" t="n">
        <x:v>55.9</x:v>
      </x:c>
      <x:c r="J369" s="3" t="n">
        <x:v>3.7</x:v>
      </x:c>
      <x:c r="K369" t="str">
        <x:v>Web</x:v>
      </x:c>
      <x:c r="L369" t="str">
        <x:v>Tech 14</x:v>
      </x:c>
    </x:row>
    <x:row r="370">
      <x:c r="A370" t="str">
        <x:v>TS-8369</x:v>
      </x:c>
      <x:c r="B370" t="str">
        <x:v>Sep</x:v>
      </x:c>
      <x:c r="C370" t="str">
        <x:v>Resolved</x:v>
      </x:c>
      <x:c r="D370" t="str">
        <x:v>Broadband</x:v>
      </x:c>
      <x:c r="E370" t="str">
        <x:v>North</x:v>
      </x:c>
      <x:c r="F370" t="str">
        <x:v>High</x:v>
      </x:c>
      <x:c r="G370" t="str">
        <x:v>Dropped Calls</x:v>
      </x:c>
      <x:c r="H370" s="3" t="n">
        <x:v>19.599999999999998</x:v>
      </x:c>
      <x:c r="I370" s="3" t="n">
        <x:v>65.6</x:v>
      </x:c>
      <x:c r="J370" s="3" t="n">
        <x:v>4.8</x:v>
      </x:c>
      <x:c r="K370" t="str">
        <x:v>App</x:v>
      </x:c>
      <x:c r="L370" t="str">
        <x:v>Tech 3</x:v>
      </x:c>
    </x:row>
    <x:row r="371">
      <x:c r="A371" t="str">
        <x:v>TS-8370</x:v>
      </x:c>
      <x:c r="B371" t="str">
        <x:v>Oct</x:v>
      </x:c>
      <x:c r="C371" t="str">
        <x:v>In Progress</x:v>
      </x:c>
      <x:c r="D371" t="str">
        <x:v>Landline</x:v>
      </x:c>
      <x:c r="E371" t="str">
        <x:v>South</x:v>
      </x:c>
      <x:c r="F371" t="str">
        <x:v>Low</x:v>
      </x:c>
      <x:c r="G371" t="str">
        <x:v>Billing Error</x:v>
      </x:c>
      <x:c r="H371" s="3" t="n">
        <x:v>18.9</x:v>
      </x:c>
      <x:c r="I371" s="3" t="n">
        <x:v>59.3</x:v>
      </x:c>
      <x:c r="J371" s="3" t="n">
        <x:v>3.4</x:v>
      </x:c>
      <x:c r="K371" t="str">
        <x:v>Retail</x:v>
      </x:c>
      <x:c r="L371" t="str">
        <x:v>Tech 10</x:v>
      </x:c>
    </x:row>
    <x:row r="372">
      <x:c r="A372" t="str">
        <x:v>TS-8371</x:v>
      </x:c>
      <x:c r="B372" t="str">
        <x:v>Nov</x:v>
      </x:c>
      <x:c r="C372" t="str">
        <x:v>Open</x:v>
      </x:c>
      <x:c r="D372" t="str">
        <x:v>TV</x:v>
      </x:c>
      <x:c r="E372" t="str">
        <x:v>East</x:v>
      </x:c>
      <x:c r="F372" t="str">
        <x:v>Medium</x:v>
      </x:c>
      <x:c r="G372" t="str">
        <x:v>No Signal</x:v>
      </x:c>
      <x:c r="H372" s="3" t="n">
        <x:v>20.2</x:v>
      </x:c>
      <x:c r="I372" s="3" t="n">
        <x:v>61</x:v>
      </x:c>
      <x:c r="J372" s="3" t="n">
        <x:v>4.5</x:v>
      </x:c>
      <x:c r="K372" t="str">
        <x:v>Phone</x:v>
      </x:c>
      <x:c r="L372" t="str">
        <x:v>Tech 17</x:v>
      </x:c>
    </x:row>
    <x:row r="373">
      <x:c r="A373" t="str">
        <x:v>TS-8372</x:v>
      </x:c>
      <x:c r="B373" t="str">
        <x:v>Dec</x:v>
      </x:c>
      <x:c r="C373" t="str">
        <x:v>Resolved</x:v>
      </x:c>
      <x:c r="D373" t="str">
        <x:v>Mobile</x:v>
      </x:c>
      <x:c r="E373" t="str">
        <x:v>West</x:v>
      </x:c>
      <x:c r="F373" t="str">
        <x:v>High</x:v>
      </x:c>
      <x:c r="G373" t="str">
        <x:v>Installation Delay</x:v>
      </x:c>
      <x:c r="H373" s="3" t="n">
        <x:v>23.5</x:v>
      </x:c>
      <x:c r="I373" s="3" t="n">
        <x:v>70.7</x:v>
      </x:c>
      <x:c r="J373" s="3" t="n">
        <x:v>3.1</x:v>
      </x:c>
      <x:c r="K373" t="str">
        <x:v>Web</x:v>
      </x:c>
      <x:c r="L373" t="str">
        <x:v>Tech 6</x:v>
      </x:c>
    </x:row>
    <x:row r="374">
      <x:c r="A374" t="str">
        <x:v>TS-8373</x:v>
      </x:c>
      <x:c r="B374" t="str">
        <x:v>Jan</x:v>
      </x:c>
      <x:c r="C374" t="str">
        <x:v>In Progress</x:v>
      </x:c>
      <x:c r="D374" t="str">
        <x:v>Broadband</x:v>
      </x:c>
      <x:c r="E374" t="str">
        <x:v>North</x:v>
      </x:c>
      <x:c r="F374" t="str">
        <x:v>Low</x:v>
      </x:c>
      <x:c r="G374" t="str">
        <x:v>Slow Internet</x:v>
      </x:c>
      <x:c r="H374" s="3" t="n">
        <x:v>1.7999999999999998</x:v>
      </x:c>
      <x:c r="I374" s="3" t="n">
        <x:v>64.4</x:v>
      </x:c>
      <x:c r="J374" s="3" t="n">
        <x:v>4.2</x:v>
      </x:c>
      <x:c r="K374" t="str">
        <x:v>App</x:v>
      </x:c>
      <x:c r="L374" t="str">
        <x:v>Tech 13</x:v>
      </x:c>
    </x:row>
    <x:row r="375">
      <x:c r="A375" t="str">
        <x:v>TS-8374</x:v>
      </x:c>
      <x:c r="B375" t="str">
        <x:v>Feb</x:v>
      </x:c>
      <x:c r="C375" t="str">
        <x:v>Open</x:v>
      </x:c>
      <x:c r="D375" t="str">
        <x:v>Landline</x:v>
      </x:c>
      <x:c r="E375" t="str">
        <x:v>South</x:v>
      </x:c>
      <x:c r="F375" t="str">
        <x:v>Medium</x:v>
      </x:c>
      <x:c r="G375" t="str">
        <x:v>Service Outage</x:v>
      </x:c>
      <x:c r="H375" s="3" t="n">
        <x:v>3.0999999999999996</x:v>
      </x:c>
      <x:c r="I375" s="3" t="n">
        <x:v>66.1</x:v>
      </x:c>
      <x:c r="J375" s="3" t="n">
        <x:v>2.8</x:v>
      </x:c>
      <x:c r="K375" t="str">
        <x:v>Retail</x:v>
      </x:c>
      <x:c r="L375" t="str">
        <x:v>Tech 2</x:v>
      </x:c>
    </x:row>
    <x:row r="376">
      <x:c r="A376" t="str">
        <x:v>TS-8375</x:v>
      </x:c>
      <x:c r="B376" t="str">
        <x:v>Mar</x:v>
      </x:c>
      <x:c r="C376" t="str">
        <x:v>Resolved</x:v>
      </x:c>
      <x:c r="D376" t="str">
        <x:v>TV</x:v>
      </x:c>
      <x:c r="E376" t="str">
        <x:v>East</x:v>
      </x:c>
      <x:c r="F376" t="str">
        <x:v>High</x:v>
      </x:c>
      <x:c r="G376" t="str">
        <x:v>Dropped Calls</x:v>
      </x:c>
      <x:c r="H376" s="3" t="n">
        <x:v>6.4</x:v>
      </x:c>
      <x:c r="I376" s="3" t="n">
        <x:v>75.8</x:v>
      </x:c>
      <x:c r="J376" s="3" t="n">
        <x:v>3.9</x:v>
      </x:c>
      <x:c r="K376" t="str">
        <x:v>Phone</x:v>
      </x:c>
      <x:c r="L376" t="str">
        <x:v>Tech 9</x:v>
      </x:c>
    </x:row>
    <x:row r="377">
      <x:c r="A377" t="str">
        <x:v>TS-8376</x:v>
      </x:c>
      <x:c r="B377" t="str">
        <x:v>Apr</x:v>
      </x:c>
      <x:c r="C377" t="str">
        <x:v>In Progress</x:v>
      </x:c>
      <x:c r="D377" t="str">
        <x:v>Mobile</x:v>
      </x:c>
      <x:c r="E377" t="str">
        <x:v>West</x:v>
      </x:c>
      <x:c r="F377" t="str">
        <x:v>Low</x:v>
      </x:c>
      <x:c r="G377" t="str">
        <x:v>Billing Error</x:v>
      </x:c>
      <x:c r="H377" s="3" t="n">
        <x:v>5.7</x:v>
      </x:c>
      <x:c r="I377" s="3" t="n">
        <x:v>69.5</x:v>
      </x:c>
      <x:c r="J377" s="3" t="n">
        <x:v>2.5</x:v>
      </x:c>
      <x:c r="K377" t="str">
        <x:v>Web</x:v>
      </x:c>
      <x:c r="L377" t="str">
        <x:v>Tech 16</x:v>
      </x:c>
    </x:row>
    <x:row r="378">
      <x:c r="A378" t="str">
        <x:v>TS-8377</x:v>
      </x:c>
      <x:c r="B378" t="str">
        <x:v>May</x:v>
      </x:c>
      <x:c r="C378" t="str">
        <x:v>Open</x:v>
      </x:c>
      <x:c r="D378" t="str">
        <x:v>Broadband</x:v>
      </x:c>
      <x:c r="E378" t="str">
        <x:v>North</x:v>
      </x:c>
      <x:c r="F378" t="str">
        <x:v>Medium</x:v>
      </x:c>
      <x:c r="G378" t="str">
        <x:v>No Signal</x:v>
      </x:c>
      <x:c r="H378" s="3" t="n">
        <x:v>7</x:v>
      </x:c>
      <x:c r="I378" s="3" t="n">
        <x:v>71.2</x:v>
      </x:c>
      <x:c r="J378" s="3" t="n">
        <x:v>3.6</x:v>
      </x:c>
      <x:c r="K378" t="str">
        <x:v>App</x:v>
      </x:c>
      <x:c r="L378" t="str">
        <x:v>Tech 5</x:v>
      </x:c>
    </x:row>
    <x:row r="379">
      <x:c r="A379" t="str">
        <x:v>TS-8378</x:v>
      </x:c>
      <x:c r="B379" t="str">
        <x:v>Jun</x:v>
      </x:c>
      <x:c r="C379" t="str">
        <x:v>Resolved</x:v>
      </x:c>
      <x:c r="D379" t="str">
        <x:v>Landline</x:v>
      </x:c>
      <x:c r="E379" t="str">
        <x:v>South</x:v>
      </x:c>
      <x:c r="F379" t="str">
        <x:v>High</x:v>
      </x:c>
      <x:c r="G379" t="str">
        <x:v>Installation Delay</x:v>
      </x:c>
      <x:c r="H379" s="3" t="n">
        <x:v>10.299999999999999</x:v>
      </x:c>
      <x:c r="I379" s="3" t="n">
        <x:v>80.9</x:v>
      </x:c>
      <x:c r="J379" s="3" t="n">
        <x:v>4.7</x:v>
      </x:c>
      <x:c r="K379" t="str">
        <x:v>Retail</x:v>
      </x:c>
      <x:c r="L379" t="str">
        <x:v>Tech 12</x:v>
      </x:c>
    </x:row>
    <x:row r="380">
      <x:c r="A380" t="str">
        <x:v>TS-8379</x:v>
      </x:c>
      <x:c r="B380" t="str">
        <x:v>Jul</x:v>
      </x:c>
      <x:c r="C380" t="str">
        <x:v>In Progress</x:v>
      </x:c>
      <x:c r="D380" t="str">
        <x:v>TV</x:v>
      </x:c>
      <x:c r="E380" t="str">
        <x:v>East</x:v>
      </x:c>
      <x:c r="F380" t="str">
        <x:v>Low</x:v>
      </x:c>
      <x:c r="G380" t="str">
        <x:v>Slow Internet</x:v>
      </x:c>
      <x:c r="H380" s="3" t="n">
        <x:v>9.6</x:v>
      </x:c>
      <x:c r="I380" s="3" t="n">
        <x:v>74.6</x:v>
      </x:c>
      <x:c r="J380" s="3" t="n">
        <x:v>3.3</x:v>
      </x:c>
      <x:c r="K380" t="str">
        <x:v>Phone</x:v>
      </x:c>
      <x:c r="L380" t="str">
        <x:v>Tech 1</x:v>
      </x:c>
    </x:row>
    <x:row r="381">
      <x:c r="A381" t="str">
        <x:v>TS-8380</x:v>
      </x:c>
      <x:c r="B381" t="str">
        <x:v>Aug</x:v>
      </x:c>
      <x:c r="C381" t="str">
        <x:v>Open</x:v>
      </x:c>
      <x:c r="D381" t="str">
        <x:v>Mobile</x:v>
      </x:c>
      <x:c r="E381" t="str">
        <x:v>West</x:v>
      </x:c>
      <x:c r="F381" t="str">
        <x:v>Medium</x:v>
      </x:c>
      <x:c r="G381" t="str">
        <x:v>Service Outage</x:v>
      </x:c>
      <x:c r="H381" s="3" t="n">
        <x:v>10.899999999999999</x:v>
      </x:c>
      <x:c r="I381" s="3" t="n">
        <x:v>76.3</x:v>
      </x:c>
      <x:c r="J381" s="3" t="n">
        <x:v>4.4</x:v>
      </x:c>
      <x:c r="K381" t="str">
        <x:v>Web</x:v>
      </x:c>
      <x:c r="L381" t="str">
        <x:v>Tech 8</x:v>
      </x:c>
    </x:row>
    <x:row r="382">
      <x:c r="A382" t="str">
        <x:v>TS-8381</x:v>
      </x:c>
      <x:c r="B382" t="str">
        <x:v>Sep</x:v>
      </x:c>
      <x:c r="C382" t="str">
        <x:v>Open</x:v>
      </x:c>
      <x:c r="D382" t="str">
        <x:v>Broadband</x:v>
      </x:c>
      <x:c r="E382" t="str">
        <x:v>North</x:v>
      </x:c>
      <x:c r="F382" t="str">
        <x:v>High</x:v>
      </x:c>
      <x:c r="G382" t="str">
        <x:v>Dropped Calls</x:v>
      </x:c>
      <x:c r="H382" s="3" t="n">
        <x:v>14.2</x:v>
      </x:c>
      <x:c r="I382" s="3" t="n">
        <x:v>86</x:v>
      </x:c>
      <x:c r="J382" s="3" t="n">
        <x:v>3</x:v>
      </x:c>
      <x:c r="K382" t="str">
        <x:v>App</x:v>
      </x:c>
      <x:c r="L382" t="str">
        <x:v>Tech 15</x:v>
      </x:c>
    </x:row>
    <x:row r="383">
      <x:c r="A383" t="str">
        <x:v>TS-8382</x:v>
      </x:c>
      <x:c r="B383" t="str">
        <x:v>Oct</x:v>
      </x:c>
      <x:c r="C383" t="str">
        <x:v>Resolved</x:v>
      </x:c>
      <x:c r="D383" t="str">
        <x:v>Landline</x:v>
      </x:c>
      <x:c r="E383" t="str">
        <x:v>South</x:v>
      </x:c>
      <x:c r="F383" t="str">
        <x:v>Low</x:v>
      </x:c>
      <x:c r="G383" t="str">
        <x:v>Billing Error</x:v>
      </x:c>
      <x:c r="H383" s="3" t="n">
        <x:v>13.5</x:v>
      </x:c>
      <x:c r="I383" s="3" t="n">
        <x:v>79.7</x:v>
      </x:c>
      <x:c r="J383" s="3" t="n">
        <x:v>4.1</x:v>
      </x:c>
      <x:c r="K383" t="str">
        <x:v>Retail</x:v>
      </x:c>
      <x:c r="L383" t="str">
        <x:v>Tech 4</x:v>
      </x:c>
    </x:row>
    <x:row r="384">
      <x:c r="A384" t="str">
        <x:v>TS-8383</x:v>
      </x:c>
      <x:c r="B384" t="str">
        <x:v>Nov</x:v>
      </x:c>
      <x:c r="C384" t="str">
        <x:v>In Progress</x:v>
      </x:c>
      <x:c r="D384" t="str">
        <x:v>TV</x:v>
      </x:c>
      <x:c r="E384" t="str">
        <x:v>East</x:v>
      </x:c>
      <x:c r="F384" t="str">
        <x:v>Medium</x:v>
      </x:c>
      <x:c r="G384" t="str">
        <x:v>No Signal</x:v>
      </x:c>
      <x:c r="H384" s="3" t="n">
        <x:v>14.799999999999999</x:v>
      </x:c>
      <x:c r="I384" s="3" t="n">
        <x:v>81.4</x:v>
      </x:c>
      <x:c r="J384" s="3" t="n">
        <x:v>2.7</x:v>
      </x:c>
      <x:c r="K384" t="str">
        <x:v>Phone</x:v>
      </x:c>
      <x:c r="L384" t="str">
        <x:v>Tech 11</x:v>
      </x:c>
    </x:row>
    <x:row r="385">
      <x:c r="A385" t="str">
        <x:v>TS-8384</x:v>
      </x:c>
      <x:c r="B385" t="str">
        <x:v>Dec</x:v>
      </x:c>
      <x:c r="C385" t="str">
        <x:v>Open</x:v>
      </x:c>
      <x:c r="D385" t="str">
        <x:v>Mobile</x:v>
      </x:c>
      <x:c r="E385" t="str">
        <x:v>West</x:v>
      </x:c>
      <x:c r="F385" t="str">
        <x:v>High</x:v>
      </x:c>
      <x:c r="G385" t="str">
        <x:v>Installation Delay</x:v>
      </x:c>
      <x:c r="H385" s="3" t="n">
        <x:v>18.1</x:v>
      </x:c>
      <x:c r="I385" s="3" t="n">
        <x:v>91.1</x:v>
      </x:c>
      <x:c r="J385" s="3" t="n">
        <x:v>3.8</x:v>
      </x:c>
      <x:c r="K385" t="str">
        <x:v>Web</x:v>
      </x:c>
      <x:c r="L385" t="str">
        <x:v>Tech 18</x:v>
      </x:c>
    </x:row>
    <x:row r="386">
      <x:c r="A386" t="str">
        <x:v>TS-8385</x:v>
      </x:c>
      <x:c r="B386" t="str">
        <x:v>Jan</x:v>
      </x:c>
      <x:c r="C386" t="str">
        <x:v>Resolved</x:v>
      </x:c>
      <x:c r="D386" t="str">
        <x:v>Broadband</x:v>
      </x:c>
      <x:c r="E386" t="str">
        <x:v>North</x:v>
      </x:c>
      <x:c r="F386" t="str">
        <x:v>Low</x:v>
      </x:c>
      <x:c r="G386" t="str">
        <x:v>Slow Internet</x:v>
      </x:c>
      <x:c r="H386" s="3" t="n">
        <x:v>17.4</x:v>
      </x:c>
      <x:c r="I386" s="3" t="n">
        <x:v>84.8</x:v>
      </x:c>
      <x:c r="J386" s="3" t="n">
        <x:v>4.9</x:v>
      </x:c>
      <x:c r="K386" t="str">
        <x:v>App</x:v>
      </x:c>
      <x:c r="L386" t="str">
        <x:v>Tech 7</x:v>
      </x:c>
    </x:row>
    <x:row r="387">
      <x:c r="A387" t="str">
        <x:v>TS-8386</x:v>
      </x:c>
      <x:c r="B387" t="str">
        <x:v>Feb</x:v>
      </x:c>
      <x:c r="C387" t="str">
        <x:v>In Progress</x:v>
      </x:c>
      <x:c r="D387" t="str">
        <x:v>Landline</x:v>
      </x:c>
      <x:c r="E387" t="str">
        <x:v>South</x:v>
      </x:c>
      <x:c r="F387" t="str">
        <x:v>Medium</x:v>
      </x:c>
      <x:c r="G387" t="str">
        <x:v>Service Outage</x:v>
      </x:c>
      <x:c r="H387" s="3" t="n">
        <x:v>18.7</x:v>
      </x:c>
      <x:c r="I387" s="3" t="n">
        <x:v>86.5</x:v>
      </x:c>
      <x:c r="J387" s="3" t="n">
        <x:v>3.5</x:v>
      </x:c>
      <x:c r="K387" t="str">
        <x:v>Retail</x:v>
      </x:c>
      <x:c r="L387" t="str">
        <x:v>Tech 14</x:v>
      </x:c>
    </x:row>
    <x:row r="388">
      <x:c r="A388" t="str">
        <x:v>TS-8387</x:v>
      </x:c>
      <x:c r="B388" t="str">
        <x:v>Mar</x:v>
      </x:c>
      <x:c r="C388" t="str">
        <x:v>Open</x:v>
      </x:c>
      <x:c r="D388" t="str">
        <x:v>TV</x:v>
      </x:c>
      <x:c r="E388" t="str">
        <x:v>East</x:v>
      </x:c>
      <x:c r="F388" t="str">
        <x:v>High</x:v>
      </x:c>
      <x:c r="G388" t="str">
        <x:v>Dropped Calls</x:v>
      </x:c>
      <x:c r="H388" s="3" t="n">
        <x:v>22</x:v>
      </x:c>
      <x:c r="I388" s="3" t="n">
        <x:v>96.2</x:v>
      </x:c>
      <x:c r="J388" s="3" t="n">
        <x:v>4.6</x:v>
      </x:c>
      <x:c r="K388" t="str">
        <x:v>Phone</x:v>
      </x:c>
      <x:c r="L388" t="str">
        <x:v>Tech 3</x:v>
      </x:c>
    </x:row>
    <x:row r="389">
      <x:c r="A389" t="str">
        <x:v>TS-8388</x:v>
      </x:c>
      <x:c r="B389" t="str">
        <x:v>Apr</x:v>
      </x:c>
      <x:c r="C389" t="str">
        <x:v>Resolved</x:v>
      </x:c>
      <x:c r="D389" t="str">
        <x:v>Mobile</x:v>
      </x:c>
      <x:c r="E389" t="str">
        <x:v>West</x:v>
      </x:c>
      <x:c r="F389" t="str">
        <x:v>Low</x:v>
      </x:c>
      <x:c r="G389" t="str">
        <x:v>Billing Error</x:v>
      </x:c>
      <x:c r="H389" s="3" t="n">
        <x:v>21.3</x:v>
      </x:c>
      <x:c r="I389" s="3" t="n">
        <x:v>89.9</x:v>
      </x:c>
      <x:c r="J389" s="3" t="n">
        <x:v>3.2</x:v>
      </x:c>
      <x:c r="K389" t="str">
        <x:v>Web</x:v>
      </x:c>
      <x:c r="L389" t="str">
        <x:v>Tech 10</x:v>
      </x:c>
    </x:row>
    <x:row r="390">
      <x:c r="A390" t="str">
        <x:v>TS-8389</x:v>
      </x:c>
      <x:c r="B390" t="str">
        <x:v>May</x:v>
      </x:c>
      <x:c r="C390" t="str">
        <x:v>In Progress</x:v>
      </x:c>
      <x:c r="D390" t="str">
        <x:v>Broadband</x:v>
      </x:c>
      <x:c r="E390" t="str">
        <x:v>North</x:v>
      </x:c>
      <x:c r="F390" t="str">
        <x:v>Medium</x:v>
      </x:c>
      <x:c r="G390" t="str">
        <x:v>No Signal</x:v>
      </x:c>
      <x:c r="H390" s="3" t="n">
        <x:v>1.6</x:v>
      </x:c>
      <x:c r="I390" s="3" t="n">
        <x:v>91.6</x:v>
      </x:c>
      <x:c r="J390" s="3" t="n">
        <x:v>4.3</x:v>
      </x:c>
      <x:c r="K390" t="str">
        <x:v>App</x:v>
      </x:c>
      <x:c r="L390" t="str">
        <x:v>Tech 17</x:v>
      </x:c>
    </x:row>
    <x:row r="391">
      <x:c r="A391" t="str">
        <x:v>TS-8390</x:v>
      </x:c>
      <x:c r="B391" t="str">
        <x:v>Jun</x:v>
      </x:c>
      <x:c r="C391" t="str">
        <x:v>Open</x:v>
      </x:c>
      <x:c r="D391" t="str">
        <x:v>Landline</x:v>
      </x:c>
      <x:c r="E391" t="str">
        <x:v>South</x:v>
      </x:c>
      <x:c r="F391" t="str">
        <x:v>High</x:v>
      </x:c>
      <x:c r="G391" t="str">
        <x:v>Installation Delay</x:v>
      </x:c>
      <x:c r="H391" s="3" t="n">
        <x:v>4.9</x:v>
      </x:c>
      <x:c r="I391" s="3" t="n">
        <x:v>101.3</x:v>
      </x:c>
      <x:c r="J391" s="3" t="n">
        <x:v>2.9</x:v>
      </x:c>
      <x:c r="K391" t="str">
        <x:v>Retail</x:v>
      </x:c>
      <x:c r="L391" t="str">
        <x:v>Tech 6</x:v>
      </x:c>
    </x:row>
    <x:row r="392">
      <x:c r="A392" t="str">
        <x:v>TS-8391</x:v>
      </x:c>
      <x:c r="B392" t="str">
        <x:v>Jul</x:v>
      </x:c>
      <x:c r="C392" t="str">
        <x:v>Resolved</x:v>
      </x:c>
      <x:c r="D392" t="str">
        <x:v>TV</x:v>
      </x:c>
      <x:c r="E392" t="str">
        <x:v>East</x:v>
      </x:c>
      <x:c r="F392" t="str">
        <x:v>Low</x:v>
      </x:c>
      <x:c r="G392" t="str">
        <x:v>Slow Internet</x:v>
      </x:c>
      <x:c r="H392" s="3" t="n">
        <x:v>4.2</x:v>
      </x:c>
      <x:c r="I392" s="3" t="n">
        <x:v>95</x:v>
      </x:c>
      <x:c r="J392" s="3" t="n">
        <x:v>4</x:v>
      </x:c>
      <x:c r="K392" t="str">
        <x:v>Phone</x:v>
      </x:c>
      <x:c r="L392" t="str">
        <x:v>Tech 13</x:v>
      </x:c>
    </x:row>
    <x:row r="393">
      <x:c r="A393" t="str">
        <x:v>TS-8392</x:v>
      </x:c>
      <x:c r="B393" t="str">
        <x:v>Aug</x:v>
      </x:c>
      <x:c r="C393" t="str">
        <x:v>In Progress</x:v>
      </x:c>
      <x:c r="D393" t="str">
        <x:v>Mobile</x:v>
      </x:c>
      <x:c r="E393" t="str">
        <x:v>West</x:v>
      </x:c>
      <x:c r="F393" t="str">
        <x:v>Medium</x:v>
      </x:c>
      <x:c r="G393" t="str">
        <x:v>Service Outage</x:v>
      </x:c>
      <x:c r="H393" s="3" t="n">
        <x:v>5.5</x:v>
      </x:c>
      <x:c r="I393" s="3" t="n">
        <x:v>96.7</x:v>
      </x:c>
      <x:c r="J393" s="3" t="n">
        <x:v>2.6</x:v>
      </x:c>
      <x:c r="K393" t="str">
        <x:v>Web</x:v>
      </x:c>
      <x:c r="L393" t="str">
        <x:v>Tech 2</x:v>
      </x:c>
    </x:row>
    <x:row r="394">
      <x:c r="A394" t="str">
        <x:v>TS-8393</x:v>
      </x:c>
      <x:c r="B394" t="str">
        <x:v>Sep</x:v>
      </x:c>
      <x:c r="C394" t="str">
        <x:v>Open</x:v>
      </x:c>
      <x:c r="D394" t="str">
        <x:v>Broadband</x:v>
      </x:c>
      <x:c r="E394" t="str">
        <x:v>North</x:v>
      </x:c>
      <x:c r="F394" t="str">
        <x:v>High</x:v>
      </x:c>
      <x:c r="G394" t="str">
        <x:v>Dropped Calls</x:v>
      </x:c>
      <x:c r="H394" s="3" t="n">
        <x:v>8.8</x:v>
      </x:c>
      <x:c r="I394" s="3" t="n">
        <x:v>106.4</x:v>
      </x:c>
      <x:c r="J394" s="3" t="n">
        <x:v>3.7</x:v>
      </x:c>
      <x:c r="K394" t="str">
        <x:v>App</x:v>
      </x:c>
      <x:c r="L394" t="str">
        <x:v>Tech 9</x:v>
      </x:c>
    </x:row>
    <x:row r="395">
      <x:c r="A395" t="str">
        <x:v>TS-8394</x:v>
      </x:c>
      <x:c r="B395" t="str">
        <x:v>Oct</x:v>
      </x:c>
      <x:c r="C395" t="str">
        <x:v>Resolved</x:v>
      </x:c>
      <x:c r="D395" t="str">
        <x:v>Landline</x:v>
      </x:c>
      <x:c r="E395" t="str">
        <x:v>South</x:v>
      </x:c>
      <x:c r="F395" t="str">
        <x:v>Low</x:v>
      </x:c>
      <x:c r="G395" t="str">
        <x:v>Billing Error</x:v>
      </x:c>
      <x:c r="H395" s="3" t="n">
        <x:v>8.1</x:v>
      </x:c>
      <x:c r="I395" s="3" t="n">
        <x:v>100.1</x:v>
      </x:c>
      <x:c r="J395" s="3" t="n">
        <x:v>4.8</x:v>
      </x:c>
      <x:c r="K395" t="str">
        <x:v>Retail</x:v>
      </x:c>
      <x:c r="L395" t="str">
        <x:v>Tech 16</x:v>
      </x:c>
    </x:row>
    <x:row r="396">
      <x:c r="A396" t="str">
        <x:v>TS-8395</x:v>
      </x:c>
      <x:c r="B396" t="str">
        <x:v>Nov</x:v>
      </x:c>
      <x:c r="C396" t="str">
        <x:v>In Progress</x:v>
      </x:c>
      <x:c r="D396" t="str">
        <x:v>TV</x:v>
      </x:c>
      <x:c r="E396" t="str">
        <x:v>East</x:v>
      </x:c>
      <x:c r="F396" t="str">
        <x:v>Medium</x:v>
      </x:c>
      <x:c r="G396" t="str">
        <x:v>No Signal</x:v>
      </x:c>
      <x:c r="H396" s="3" t="n">
        <x:v>9.399999999999999</x:v>
      </x:c>
      <x:c r="I396" s="3" t="n">
        <x:v>101.8</x:v>
      </x:c>
      <x:c r="J396" s="3" t="n">
        <x:v>3.4</x:v>
      </x:c>
      <x:c r="K396" t="str">
        <x:v>Phone</x:v>
      </x:c>
      <x:c r="L396" t="str">
        <x:v>Tech 5</x:v>
      </x:c>
    </x:row>
    <x:row r="397">
      <x:c r="A397" t="str">
        <x:v>TS-8396</x:v>
      </x:c>
      <x:c r="B397" t="str">
        <x:v>Dec</x:v>
      </x:c>
      <x:c r="C397" t="str">
        <x:v>Open</x:v>
      </x:c>
      <x:c r="D397" t="str">
        <x:v>Mobile</x:v>
      </x:c>
      <x:c r="E397" t="str">
        <x:v>West</x:v>
      </x:c>
      <x:c r="F397" t="str">
        <x:v>High</x:v>
      </x:c>
      <x:c r="G397" t="str">
        <x:v>Installation Delay</x:v>
      </x:c>
      <x:c r="H397" s="3" t="n">
        <x:v>12.7</x:v>
      </x:c>
      <x:c r="I397" s="3" t="n">
        <x:v>111.5</x:v>
      </x:c>
      <x:c r="J397" s="3" t="n">
        <x:v>4.5</x:v>
      </x:c>
      <x:c r="K397" t="str">
        <x:v>Web</x:v>
      </x:c>
      <x:c r="L397" t="str">
        <x:v>Tech 12</x:v>
      </x:c>
    </x:row>
    <x:row r="398">
      <x:c r="A398" t="str">
        <x:v>TS-8397</x:v>
      </x:c>
      <x:c r="B398" t="str">
        <x:v>Jan</x:v>
      </x:c>
      <x:c r="C398" t="str">
        <x:v>Resolved</x:v>
      </x:c>
      <x:c r="D398" t="str">
        <x:v>Broadband</x:v>
      </x:c>
      <x:c r="E398" t="str">
        <x:v>North</x:v>
      </x:c>
      <x:c r="F398" t="str">
        <x:v>Low</x:v>
      </x:c>
      <x:c r="G398" t="str">
        <x:v>Slow Internet</x:v>
      </x:c>
      <x:c r="H398" s="3" t="n">
        <x:v>12</x:v>
      </x:c>
      <x:c r="I398" s="3" t="n">
        <x:v>9.2</x:v>
      </x:c>
      <x:c r="J398" s="3" t="n">
        <x:v>3.1</x:v>
      </x:c>
      <x:c r="K398" t="str">
        <x:v>App</x:v>
      </x:c>
      <x:c r="L398" t="str">
        <x:v>Tech 1</x:v>
      </x:c>
    </x:row>
    <x:row r="399">
      <x:c r="A399" t="str">
        <x:v>TS-8398</x:v>
      </x:c>
      <x:c r="B399" t="str">
        <x:v>Feb</x:v>
      </x:c>
      <x:c r="C399" t="str">
        <x:v>In Progress</x:v>
      </x:c>
      <x:c r="D399" t="str">
        <x:v>Landline</x:v>
      </x:c>
      <x:c r="E399" t="str">
        <x:v>South</x:v>
      </x:c>
      <x:c r="F399" t="str">
        <x:v>Medium</x:v>
      </x:c>
      <x:c r="G399" t="str">
        <x:v>Service Outage</x:v>
      </x:c>
      <x:c r="H399" s="3" t="n">
        <x:v>13.299999999999999</x:v>
      </x:c>
      <x:c r="I399" s="3" t="n">
        <x:v>10.9</x:v>
      </x:c>
      <x:c r="J399" s="3" t="n">
        <x:v>4.2</x:v>
      </x:c>
      <x:c r="K399" t="str">
        <x:v>Retail</x:v>
      </x:c>
      <x:c r="L399" t="str">
        <x:v>Tech 8</x:v>
      </x:c>
    </x:row>
    <x:row r="400">
      <x:c r="A400" t="str">
        <x:v>TS-8399</x:v>
      </x:c>
      <x:c r="B400" t="str">
        <x:v>Mar</x:v>
      </x:c>
      <x:c r="C400" t="str">
        <x:v>Open</x:v>
      </x:c>
      <x:c r="D400" t="str">
        <x:v>TV</x:v>
      </x:c>
      <x:c r="E400" t="str">
        <x:v>East</x:v>
      </x:c>
      <x:c r="F400" t="str">
        <x:v>High</x:v>
      </x:c>
      <x:c r="G400" t="str">
        <x:v>Dropped Calls</x:v>
      </x:c>
      <x:c r="H400" s="3" t="n">
        <x:v>16.6</x:v>
      </x:c>
      <x:c r="I400" s="3" t="n">
        <x:v>20.6</x:v>
      </x:c>
      <x:c r="J400" s="3" t="n">
        <x:v>2.8</x:v>
      </x:c>
      <x:c r="K400" t="str">
        <x:v>Phone</x:v>
      </x:c>
      <x:c r="L400" t="str">
        <x:v>Tech 15</x:v>
      </x:c>
    </x:row>
    <x:row r="401">
      <x:c r="A401" t="str">
        <x:v>TS-8400</x:v>
      </x:c>
      <x:c r="B401" t="str">
        <x:v>Apr</x:v>
      </x:c>
      <x:c r="C401" t="str">
        <x:v>Open</x:v>
      </x:c>
      <x:c r="D401" t="str">
        <x:v>Mobile</x:v>
      </x:c>
      <x:c r="E401" t="str">
        <x:v>West</x:v>
      </x:c>
      <x:c r="F401" t="str">
        <x:v>Low</x:v>
      </x:c>
      <x:c r="G401" t="str">
        <x:v>Billing Error</x:v>
      </x:c>
      <x:c r="H401" s="3" t="n">
        <x:v>15.899999999999999</x:v>
      </x:c>
      <x:c r="I401" s="3" t="n">
        <x:v>14.3</x:v>
      </x:c>
      <x:c r="J401" s="3" t="n">
        <x:v>3.9</x:v>
      </x:c>
      <x:c r="K401" t="str">
        <x:v>Web</x:v>
      </x:c>
      <x:c r="L401" t="str">
        <x:v>Tech 4</x:v>
      </x:c>
    </x:row>
    <x:row r="402">
      <x:c r="A402" t="str">
        <x:v>TS-8401</x:v>
      </x:c>
      <x:c r="B402" t="str">
        <x:v>May</x:v>
      </x:c>
      <x:c r="C402" t="str">
        <x:v>Resolved</x:v>
      </x:c>
      <x:c r="D402" t="str">
        <x:v>Broadband</x:v>
      </x:c>
      <x:c r="E402" t="str">
        <x:v>North</x:v>
      </x:c>
      <x:c r="F402" t="str">
        <x:v>Medium</x:v>
      </x:c>
      <x:c r="G402" t="str">
        <x:v>No Signal</x:v>
      </x:c>
      <x:c r="H402" s="3" t="n">
        <x:v>17.2</x:v>
      </x:c>
      <x:c r="I402" s="3" t="n">
        <x:v>16</x:v>
      </x:c>
      <x:c r="J402" s="3" t="n">
        <x:v>2.5</x:v>
      </x:c>
      <x:c r="K402" t="str">
        <x:v>App</x:v>
      </x:c>
      <x:c r="L402" t="str">
        <x:v>Tech 11</x:v>
      </x:c>
    </x:row>
    <x:row r="403">
      <x:c r="A403" t="str">
        <x:v>TS-8402</x:v>
      </x:c>
      <x:c r="B403" t="str">
        <x:v>Jun</x:v>
      </x:c>
      <x:c r="C403" t="str">
        <x:v>In Progress</x:v>
      </x:c>
      <x:c r="D403" t="str">
        <x:v>Landline</x:v>
      </x:c>
      <x:c r="E403" t="str">
        <x:v>South</x:v>
      </x:c>
      <x:c r="F403" t="str">
        <x:v>High</x:v>
      </x:c>
      <x:c r="G403" t="str">
        <x:v>Installation Delay</x:v>
      </x:c>
      <x:c r="H403" s="3" t="n">
        <x:v>20.5</x:v>
      </x:c>
      <x:c r="I403" s="3" t="n">
        <x:v>25.7</x:v>
      </x:c>
      <x:c r="J403" s="3" t="n">
        <x:v>3.6</x:v>
      </x:c>
      <x:c r="K403" t="str">
        <x:v>Retail</x:v>
      </x:c>
      <x:c r="L403" t="str">
        <x:v>Tech 18</x:v>
      </x:c>
    </x:row>
    <x:row r="404">
      <x:c r="A404" t="str">
        <x:v>TS-8403</x:v>
      </x:c>
      <x:c r="B404" t="str">
        <x:v>Jul</x:v>
      </x:c>
      <x:c r="C404" t="str">
        <x:v>Open</x:v>
      </x:c>
      <x:c r="D404" t="str">
        <x:v>TV</x:v>
      </x:c>
      <x:c r="E404" t="str">
        <x:v>East</x:v>
      </x:c>
      <x:c r="F404" t="str">
        <x:v>Low</x:v>
      </x:c>
      <x:c r="G404" t="str">
        <x:v>Slow Internet</x:v>
      </x:c>
      <x:c r="H404" s="3" t="n">
        <x:v>19.8</x:v>
      </x:c>
      <x:c r="I404" s="3" t="n">
        <x:v>19.4</x:v>
      </x:c>
      <x:c r="J404" s="3" t="n">
        <x:v>4.7</x:v>
      </x:c>
      <x:c r="K404" t="str">
        <x:v>Phone</x:v>
      </x:c>
      <x:c r="L404" t="str">
        <x:v>Tech 7</x:v>
      </x:c>
    </x:row>
    <x:row r="405">
      <x:c r="A405" t="str">
        <x:v>TS-8404</x:v>
      </x:c>
      <x:c r="B405" t="str">
        <x:v>Aug</x:v>
      </x:c>
      <x:c r="C405" t="str">
        <x:v>Resolved</x:v>
      </x:c>
      <x:c r="D405" t="str">
        <x:v>Mobile</x:v>
      </x:c>
      <x:c r="E405" t="str">
        <x:v>West</x:v>
      </x:c>
      <x:c r="F405" t="str">
        <x:v>Medium</x:v>
      </x:c>
      <x:c r="G405" t="str">
        <x:v>Service Outage</x:v>
      </x:c>
      <x:c r="H405" s="3" t="n">
        <x:v>21.099999999999998</x:v>
      </x:c>
      <x:c r="I405" s="3" t="n">
        <x:v>21.1</x:v>
      </x:c>
      <x:c r="J405" s="3" t="n">
        <x:v>3.3</x:v>
      </x:c>
      <x:c r="K405" t="str">
        <x:v>Web</x:v>
      </x:c>
      <x:c r="L405" t="str">
        <x:v>Tech 14</x:v>
      </x:c>
    </x:row>
    <x:row r="406">
      <x:c r="A406" t="str">
        <x:v>TS-8405</x:v>
      </x:c>
      <x:c r="B406" t="str">
        <x:v>Sep</x:v>
      </x:c>
      <x:c r="C406" t="str">
        <x:v>In Progress</x:v>
      </x:c>
      <x:c r="D406" t="str">
        <x:v>Broadband</x:v>
      </x:c>
      <x:c r="E406" t="str">
        <x:v>North</x:v>
      </x:c>
      <x:c r="F406" t="str">
        <x:v>High</x:v>
      </x:c>
      <x:c r="G406" t="str">
        <x:v>Dropped Calls</x:v>
      </x:c>
      <x:c r="H406" s="3" t="n">
        <x:v>3.4</x:v>
      </x:c>
      <x:c r="I406" s="3" t="n">
        <x:v>30.8</x:v>
      </x:c>
      <x:c r="J406" s="3" t="n">
        <x:v>4.4</x:v>
      </x:c>
      <x:c r="K406" t="str">
        <x:v>App</x:v>
      </x:c>
      <x:c r="L406" t="str">
        <x:v>Tech 3</x:v>
      </x:c>
    </x:row>
    <x:row r="407">
      <x:c r="A407" t="str">
        <x:v>TS-8406</x:v>
      </x:c>
      <x:c r="B407" t="str">
        <x:v>Oct</x:v>
      </x:c>
      <x:c r="C407" t="str">
        <x:v>Open</x:v>
      </x:c>
      <x:c r="D407" t="str">
        <x:v>Landline</x:v>
      </x:c>
      <x:c r="E407" t="str">
        <x:v>South</x:v>
      </x:c>
      <x:c r="F407" t="str">
        <x:v>Low</x:v>
      </x:c>
      <x:c r="G407" t="str">
        <x:v>Billing Error</x:v>
      </x:c>
      <x:c r="H407" s="3" t="n">
        <x:v>2.7</x:v>
      </x:c>
      <x:c r="I407" s="3" t="n">
        <x:v>24.5</x:v>
      </x:c>
      <x:c r="J407" s="3" t="n">
        <x:v>3</x:v>
      </x:c>
      <x:c r="K407" t="str">
        <x:v>Retail</x:v>
      </x:c>
      <x:c r="L407" t="str">
        <x:v>Tech 10</x:v>
      </x:c>
    </x:row>
    <x:row r="408">
      <x:c r="A408" t="str">
        <x:v>TS-8407</x:v>
      </x:c>
      <x:c r="B408" t="str">
        <x:v>Nov</x:v>
      </x:c>
      <x:c r="C408" t="str">
        <x:v>Resolved</x:v>
      </x:c>
      <x:c r="D408" t="str">
        <x:v>TV</x:v>
      </x:c>
      <x:c r="E408" t="str">
        <x:v>East</x:v>
      </x:c>
      <x:c r="F408" t="str">
        <x:v>Medium</x:v>
      </x:c>
      <x:c r="G408" t="str">
        <x:v>No Signal</x:v>
      </x:c>
      <x:c r="H408" s="3" t="n">
        <x:v>4</x:v>
      </x:c>
      <x:c r="I408" s="3" t="n">
        <x:v>26.2</x:v>
      </x:c>
      <x:c r="J408" s="3" t="n">
        <x:v>4.1</x:v>
      </x:c>
      <x:c r="K408" t="str">
        <x:v>Phone</x:v>
      </x:c>
      <x:c r="L408" t="str">
        <x:v>Tech 17</x:v>
      </x:c>
    </x:row>
    <x:row r="409">
      <x:c r="A409" t="str">
        <x:v>TS-8408</x:v>
      </x:c>
      <x:c r="B409" t="str">
        <x:v>Dec</x:v>
      </x:c>
      <x:c r="C409" t="str">
        <x:v>In Progress</x:v>
      </x:c>
      <x:c r="D409" t="str">
        <x:v>Mobile</x:v>
      </x:c>
      <x:c r="E409" t="str">
        <x:v>West</x:v>
      </x:c>
      <x:c r="F409" t="str">
        <x:v>High</x:v>
      </x:c>
      <x:c r="G409" t="str">
        <x:v>Installation Delay</x:v>
      </x:c>
      <x:c r="H409" s="3" t="n">
        <x:v>7.3</x:v>
      </x:c>
      <x:c r="I409" s="3" t="n">
        <x:v>35.9</x:v>
      </x:c>
      <x:c r="J409" s="3" t="n">
        <x:v>2.7</x:v>
      </x:c>
      <x:c r="K409" t="str">
        <x:v>Web</x:v>
      </x:c>
      <x:c r="L409" t="str">
        <x:v>Tech 6</x:v>
      </x:c>
    </x:row>
    <x:row r="410">
      <x:c r="A410" t="str">
        <x:v>TS-8409</x:v>
      </x:c>
      <x:c r="B410" t="str">
        <x:v>Jan</x:v>
      </x:c>
      <x:c r="C410" t="str">
        <x:v>Open</x:v>
      </x:c>
      <x:c r="D410" t="str">
        <x:v>Broadband</x:v>
      </x:c>
      <x:c r="E410" t="str">
        <x:v>North</x:v>
      </x:c>
      <x:c r="F410" t="str">
        <x:v>Low</x:v>
      </x:c>
      <x:c r="G410" t="str">
        <x:v>Slow Internet</x:v>
      </x:c>
      <x:c r="H410" s="3" t="n">
        <x:v>6.6000000000000005</x:v>
      </x:c>
      <x:c r="I410" s="3" t="n">
        <x:v>29.6</x:v>
      </x:c>
      <x:c r="J410" s="3" t="n">
        <x:v>3.8</x:v>
      </x:c>
      <x:c r="K410" t="str">
        <x:v>App</x:v>
      </x:c>
      <x:c r="L410" t="str">
        <x:v>Tech 13</x:v>
      </x:c>
    </x:row>
    <x:row r="411">
      <x:c r="A411" t="str">
        <x:v>TS-8410</x:v>
      </x:c>
      <x:c r="B411" t="str">
        <x:v>Feb</x:v>
      </x:c>
      <x:c r="C411" t="str">
        <x:v>Resolved</x:v>
      </x:c>
      <x:c r="D411" t="str">
        <x:v>Landline</x:v>
      </x:c>
      <x:c r="E411" t="str">
        <x:v>South</x:v>
      </x:c>
      <x:c r="F411" t="str">
        <x:v>Medium</x:v>
      </x:c>
      <x:c r="G411" t="str">
        <x:v>Service Outage</x:v>
      </x:c>
      <x:c r="H411" s="3" t="n">
        <x:v>7.9</x:v>
      </x:c>
      <x:c r="I411" s="3" t="n">
        <x:v>31.3</x:v>
      </x:c>
      <x:c r="J411" s="3" t="n">
        <x:v>4.9</x:v>
      </x:c>
      <x:c r="K411" t="str">
        <x:v>Retail</x:v>
      </x:c>
      <x:c r="L411" t="str">
        <x:v>Tech 2</x:v>
      </x:c>
    </x:row>
    <x:row r="412">
      <x:c r="A412" t="str">
        <x:v>TS-8411</x:v>
      </x:c>
      <x:c r="B412" t="str">
        <x:v>Mar</x:v>
      </x:c>
      <x:c r="C412" t="str">
        <x:v>In Progress</x:v>
      </x:c>
      <x:c r="D412" t="str">
        <x:v>TV</x:v>
      </x:c>
      <x:c r="E412" t="str">
        <x:v>East</x:v>
      </x:c>
      <x:c r="F412" t="str">
        <x:v>High</x:v>
      </x:c>
      <x:c r="G412" t="str">
        <x:v>Dropped Calls</x:v>
      </x:c>
      <x:c r="H412" s="3" t="n">
        <x:v>11.2</x:v>
      </x:c>
      <x:c r="I412" s="3" t="n">
        <x:v>41</x:v>
      </x:c>
      <x:c r="J412" s="3" t="n">
        <x:v>3.5</x:v>
      </x:c>
      <x:c r="K412" t="str">
        <x:v>Phone</x:v>
      </x:c>
      <x:c r="L412" t="str">
        <x:v>Tech 9</x:v>
      </x:c>
    </x:row>
    <x:row r="413">
      <x:c r="A413" t="str">
        <x:v>TS-8412</x:v>
      </x:c>
      <x:c r="B413" t="str">
        <x:v>Apr</x:v>
      </x:c>
      <x:c r="C413" t="str">
        <x:v>Open</x:v>
      </x:c>
      <x:c r="D413" t="str">
        <x:v>Mobile</x:v>
      </x:c>
      <x:c r="E413" t="str">
        <x:v>West</x:v>
      </x:c>
      <x:c r="F413" t="str">
        <x:v>Low</x:v>
      </x:c>
      <x:c r="G413" t="str">
        <x:v>Billing Error</x:v>
      </x:c>
      <x:c r="H413" s="3" t="n">
        <x:v>10.5</x:v>
      </x:c>
      <x:c r="I413" s="3" t="n">
        <x:v>34.7</x:v>
      </x:c>
      <x:c r="J413" s="3" t="n">
        <x:v>4.6</x:v>
      </x:c>
      <x:c r="K413" t="str">
        <x:v>Web</x:v>
      </x:c>
      <x:c r="L413" t="str">
        <x:v>Tech 16</x:v>
      </x:c>
    </x:row>
    <x:row r="414">
      <x:c r="A414" t="str">
        <x:v>TS-8413</x:v>
      </x:c>
      <x:c r="B414" t="str">
        <x:v>May</x:v>
      </x:c>
      <x:c r="C414" t="str">
        <x:v>Resolved</x:v>
      </x:c>
      <x:c r="D414" t="str">
        <x:v>Broadband</x:v>
      </x:c>
      <x:c r="E414" t="str">
        <x:v>North</x:v>
      </x:c>
      <x:c r="F414" t="str">
        <x:v>Medium</x:v>
      </x:c>
      <x:c r="G414" t="str">
        <x:v>No Signal</x:v>
      </x:c>
      <x:c r="H414" s="3" t="n">
        <x:v>11.799999999999999</x:v>
      </x:c>
      <x:c r="I414" s="3" t="n">
        <x:v>36.4</x:v>
      </x:c>
      <x:c r="J414" s="3" t="n">
        <x:v>3.2</x:v>
      </x:c>
      <x:c r="K414" t="str">
        <x:v>App</x:v>
      </x:c>
      <x:c r="L414" t="str">
        <x:v>Tech 5</x:v>
      </x:c>
    </x:row>
    <x:row r="415">
      <x:c r="A415" t="str">
        <x:v>TS-8414</x:v>
      </x:c>
      <x:c r="B415" t="str">
        <x:v>Jun</x:v>
      </x:c>
      <x:c r="C415" t="str">
        <x:v>In Progress</x:v>
      </x:c>
      <x:c r="D415" t="str">
        <x:v>Landline</x:v>
      </x:c>
      <x:c r="E415" t="str">
        <x:v>South</x:v>
      </x:c>
      <x:c r="F415" t="str">
        <x:v>High</x:v>
      </x:c>
      <x:c r="G415" t="str">
        <x:v>Installation Delay</x:v>
      </x:c>
      <x:c r="H415" s="3" t="n">
        <x:v>15.1</x:v>
      </x:c>
      <x:c r="I415" s="3" t="n">
        <x:v>46.1</x:v>
      </x:c>
      <x:c r="J415" s="3" t="n">
        <x:v>4.3</x:v>
      </x:c>
      <x:c r="K415" t="str">
        <x:v>Retail</x:v>
      </x:c>
      <x:c r="L415" t="str">
        <x:v>Tech 12</x:v>
      </x:c>
    </x:row>
    <x:row r="416">
      <x:c r="A416" t="str">
        <x:v>TS-8415</x:v>
      </x:c>
      <x:c r="B416" t="str">
        <x:v>Jul</x:v>
      </x:c>
      <x:c r="C416" t="str">
        <x:v>Open</x:v>
      </x:c>
      <x:c r="D416" t="str">
        <x:v>TV</x:v>
      </x:c>
      <x:c r="E416" t="str">
        <x:v>East</x:v>
      </x:c>
      <x:c r="F416" t="str">
        <x:v>Low</x:v>
      </x:c>
      <x:c r="G416" t="str">
        <x:v>Slow Internet</x:v>
      </x:c>
      <x:c r="H416" s="3" t="n">
        <x:v>14.399999999999999</x:v>
      </x:c>
      <x:c r="I416" s="3" t="n">
        <x:v>39.8</x:v>
      </x:c>
      <x:c r="J416" s="3" t="n">
        <x:v>2.9</x:v>
      </x:c>
      <x:c r="K416" t="str">
        <x:v>Phone</x:v>
      </x:c>
      <x:c r="L416" t="str">
        <x:v>Tech 1</x:v>
      </x:c>
    </x:row>
    <x:row r="417">
      <x:c r="A417" t="str">
        <x:v>TS-8416</x:v>
      </x:c>
      <x:c r="B417" t="str">
        <x:v>Aug</x:v>
      </x:c>
      <x:c r="C417" t="str">
        <x:v>Resolved</x:v>
      </x:c>
      <x:c r="D417" t="str">
        <x:v>Mobile</x:v>
      </x:c>
      <x:c r="E417" t="str">
        <x:v>West</x:v>
      </x:c>
      <x:c r="F417" t="str">
        <x:v>Medium</x:v>
      </x:c>
      <x:c r="G417" t="str">
        <x:v>Service Outage</x:v>
      </x:c>
      <x:c r="H417" s="3" t="n">
        <x:v>15.7</x:v>
      </x:c>
      <x:c r="I417" s="3" t="n">
        <x:v>41.5</x:v>
      </x:c>
      <x:c r="J417" s="3" t="n">
        <x:v>4</x:v>
      </x:c>
      <x:c r="K417" t="str">
        <x:v>Web</x:v>
      </x:c>
      <x:c r="L417" t="str">
        <x:v>Tech 8</x:v>
      </x:c>
    </x:row>
    <x:row r="418">
      <x:c r="A418" t="str">
        <x:v>TS-8417</x:v>
      </x:c>
      <x:c r="B418" t="str">
        <x:v>Sep</x:v>
      </x:c>
      <x:c r="C418" t="str">
        <x:v>In Progress</x:v>
      </x:c>
      <x:c r="D418" t="str">
        <x:v>Broadband</x:v>
      </x:c>
      <x:c r="E418" t="str">
        <x:v>North</x:v>
      </x:c>
      <x:c r="F418" t="str">
        <x:v>High</x:v>
      </x:c>
      <x:c r="G418" t="str">
        <x:v>Dropped Calls</x:v>
      </x:c>
      <x:c r="H418" s="3" t="n">
        <x:v>19</x:v>
      </x:c>
      <x:c r="I418" s="3" t="n">
        <x:v>51.2</x:v>
      </x:c>
      <x:c r="J418" s="3" t="n">
        <x:v>2.6</x:v>
      </x:c>
      <x:c r="K418" t="str">
        <x:v>App</x:v>
      </x:c>
      <x:c r="L418" t="str">
        <x:v>Tech 15</x:v>
      </x:c>
    </x:row>
    <x:row r="419">
      <x:c r="A419" t="str">
        <x:v>TS-8418</x:v>
      </x:c>
      <x:c r="B419" t="str">
        <x:v>Oct</x:v>
      </x:c>
      <x:c r="C419" t="str">
        <x:v>Open</x:v>
      </x:c>
      <x:c r="D419" t="str">
        <x:v>Landline</x:v>
      </x:c>
      <x:c r="E419" t="str">
        <x:v>South</x:v>
      </x:c>
      <x:c r="F419" t="str">
        <x:v>Low</x:v>
      </x:c>
      <x:c r="G419" t="str">
        <x:v>Billing Error</x:v>
      </x:c>
      <x:c r="H419" s="3" t="n">
        <x:v>18.3</x:v>
      </x:c>
      <x:c r="I419" s="3" t="n">
        <x:v>44.9</x:v>
      </x:c>
      <x:c r="J419" s="3" t="n">
        <x:v>3.7</x:v>
      </x:c>
      <x:c r="K419" t="str">
        <x:v>Retail</x:v>
      </x:c>
      <x:c r="L419" t="str">
        <x:v>Tech 4</x:v>
      </x:c>
    </x:row>
    <x:row r="420">
      <x:c r="A420" t="str">
        <x:v>TS-8419</x:v>
      </x:c>
      <x:c r="B420" t="str">
        <x:v>Nov</x:v>
      </x:c>
      <x:c r="C420" t="str">
        <x:v>Open</x:v>
      </x:c>
      <x:c r="D420" t="str">
        <x:v>TV</x:v>
      </x:c>
      <x:c r="E420" t="str">
        <x:v>East</x:v>
      </x:c>
      <x:c r="F420" t="str">
        <x:v>Medium</x:v>
      </x:c>
      <x:c r="G420" t="str">
        <x:v>No Signal</x:v>
      </x:c>
      <x:c r="H420" s="3" t="n">
        <x:v>19.599999999999998</x:v>
      </x:c>
      <x:c r="I420" s="3" t="n">
        <x:v>46.6</x:v>
      </x:c>
      <x:c r="J420" s="3" t="n">
        <x:v>4.8</x:v>
      </x:c>
      <x:c r="K420" t="str">
        <x:v>Phone</x:v>
      </x:c>
      <x:c r="L420" t="str">
        <x:v>Tech 11</x:v>
      </x:c>
    </x:row>
    <x:row r="421">
      <x:c r="A421" t="str">
        <x:v>TS-8420</x:v>
      </x:c>
      <x:c r="B421" t="str">
        <x:v>Dec</x:v>
      </x:c>
      <x:c r="C421" t="str">
        <x:v>Resolved</x:v>
      </x:c>
      <x:c r="D421" t="str">
        <x:v>Mobile</x:v>
      </x:c>
      <x:c r="E421" t="str">
        <x:v>West</x:v>
      </x:c>
      <x:c r="F421" t="str">
        <x:v>High</x:v>
      </x:c>
      <x:c r="G421" t="str">
        <x:v>Installation Delay</x:v>
      </x:c>
      <x:c r="H421" s="3" t="n">
        <x:v>22.9</x:v>
      </x:c>
      <x:c r="I421" s="3" t="n">
        <x:v>56.3</x:v>
      </x:c>
      <x:c r="J421" s="3" t="n">
        <x:v>3.4</x:v>
      </x:c>
      <x:c r="K421" t="str">
        <x:v>Web</x:v>
      </x:c>
      <x:c r="L421" t="str">
        <x:v>Tech 18</x:v>
      </x:c>
    </x:row>
    <x:row r="422">
      <x:c r="A422" t="str">
        <x:v>TS-8421</x:v>
      </x:c>
      <x:c r="B422" t="str">
        <x:v>Jan</x:v>
      </x:c>
      <x:c r="C422" t="str">
        <x:v>In Progress</x:v>
      </x:c>
      <x:c r="D422" t="str">
        <x:v>Broadband</x:v>
      </x:c>
      <x:c r="E422" t="str">
        <x:v>North</x:v>
      </x:c>
      <x:c r="F422" t="str">
        <x:v>Low</x:v>
      </x:c>
      <x:c r="G422" t="str">
        <x:v>Slow Internet</x:v>
      </x:c>
      <x:c r="H422" s="3" t="n">
        <x:v>1.2</x:v>
      </x:c>
      <x:c r="I422" s="3" t="n">
        <x:v>50</x:v>
      </x:c>
      <x:c r="J422" s="3" t="n">
        <x:v>4.5</x:v>
      </x:c>
      <x:c r="K422" t="str">
        <x:v>App</x:v>
      </x:c>
      <x:c r="L422" t="str">
        <x:v>Tech 7</x:v>
      </x:c>
    </x:row>
    <x:row r="423">
      <x:c r="A423" t="str">
        <x:v>TS-8422</x:v>
      </x:c>
      <x:c r="B423" t="str">
        <x:v>Feb</x:v>
      </x:c>
      <x:c r="C423" t="str">
        <x:v>Open</x:v>
      </x:c>
      <x:c r="D423" t="str">
        <x:v>Landline</x:v>
      </x:c>
      <x:c r="E423" t="str">
        <x:v>South</x:v>
      </x:c>
      <x:c r="F423" t="str">
        <x:v>Medium</x:v>
      </x:c>
      <x:c r="G423" t="str">
        <x:v>Service Outage</x:v>
      </x:c>
      <x:c r="H423" s="3" t="n">
        <x:v>2.5</x:v>
      </x:c>
      <x:c r="I423" s="3" t="n">
        <x:v>51.7</x:v>
      </x:c>
      <x:c r="J423" s="3" t="n">
        <x:v>3.1</x:v>
      </x:c>
      <x:c r="K423" t="str">
        <x:v>Retail</x:v>
      </x:c>
      <x:c r="L423" t="str">
        <x:v>Tech 14</x:v>
      </x:c>
    </x:row>
    <x:row r="424">
      <x:c r="A424" t="str">
        <x:v>TS-8423</x:v>
      </x:c>
      <x:c r="B424" t="str">
        <x:v>Mar</x:v>
      </x:c>
      <x:c r="C424" t="str">
        <x:v>Resolved</x:v>
      </x:c>
      <x:c r="D424" t="str">
        <x:v>TV</x:v>
      </x:c>
      <x:c r="E424" t="str">
        <x:v>East</x:v>
      </x:c>
      <x:c r="F424" t="str">
        <x:v>High</x:v>
      </x:c>
      <x:c r="G424" t="str">
        <x:v>Dropped Calls</x:v>
      </x:c>
      <x:c r="H424" s="3" t="n">
        <x:v>5.8</x:v>
      </x:c>
      <x:c r="I424" s="3" t="n">
        <x:v>61.4</x:v>
      </x:c>
      <x:c r="J424" s="3" t="n">
        <x:v>4.2</x:v>
      </x:c>
      <x:c r="K424" t="str">
        <x:v>Phone</x:v>
      </x:c>
      <x:c r="L424" t="str">
        <x:v>Tech 3</x:v>
      </x:c>
    </x:row>
    <x:row r="425">
      <x:c r="A425" t="str">
        <x:v>TS-8424</x:v>
      </x:c>
      <x:c r="B425" t="str">
        <x:v>Apr</x:v>
      </x:c>
      <x:c r="C425" t="str">
        <x:v>In Progress</x:v>
      </x:c>
      <x:c r="D425" t="str">
        <x:v>Mobile</x:v>
      </x:c>
      <x:c r="E425" t="str">
        <x:v>West</x:v>
      </x:c>
      <x:c r="F425" t="str">
        <x:v>Low</x:v>
      </x:c>
      <x:c r="G425" t="str">
        <x:v>Billing Error</x:v>
      </x:c>
      <x:c r="H425" s="3" t="n">
        <x:v>5.1</x:v>
      </x:c>
      <x:c r="I425" s="3" t="n">
        <x:v>55.1</x:v>
      </x:c>
      <x:c r="J425" s="3" t="n">
        <x:v>2.8</x:v>
      </x:c>
      <x:c r="K425" t="str">
        <x:v>Web</x:v>
      </x:c>
      <x:c r="L425" t="str">
        <x:v>Tech 10</x:v>
      </x:c>
    </x:row>
    <x:row r="426">
      <x:c r="A426" t="str">
        <x:v>TS-8425</x:v>
      </x:c>
      <x:c r="B426" t="str">
        <x:v>May</x:v>
      </x:c>
      <x:c r="C426" t="str">
        <x:v>Open</x:v>
      </x:c>
      <x:c r="D426" t="str">
        <x:v>Broadband</x:v>
      </x:c>
      <x:c r="E426" t="str">
        <x:v>North</x:v>
      </x:c>
      <x:c r="F426" t="str">
        <x:v>Medium</x:v>
      </x:c>
      <x:c r="G426" t="str">
        <x:v>No Signal</x:v>
      </x:c>
      <x:c r="H426" s="3" t="n">
        <x:v>6.4</x:v>
      </x:c>
      <x:c r="I426" s="3" t="n">
        <x:v>56.8</x:v>
      </x:c>
      <x:c r="J426" s="3" t="n">
        <x:v>3.9</x:v>
      </x:c>
      <x:c r="K426" t="str">
        <x:v>App</x:v>
      </x:c>
      <x:c r="L426" t="str">
        <x:v>Tech 17</x:v>
      </x:c>
    </x:row>
    <x:row r="427">
      <x:c r="A427" t="str">
        <x:v>TS-8426</x:v>
      </x:c>
      <x:c r="B427" t="str">
        <x:v>Jun</x:v>
      </x:c>
      <x:c r="C427" t="str">
        <x:v>Resolved</x:v>
      </x:c>
      <x:c r="D427" t="str">
        <x:v>Landline</x:v>
      </x:c>
      <x:c r="E427" t="str">
        <x:v>South</x:v>
      </x:c>
      <x:c r="F427" t="str">
        <x:v>High</x:v>
      </x:c>
      <x:c r="G427" t="str">
        <x:v>Installation Delay</x:v>
      </x:c>
      <x:c r="H427" s="3" t="n">
        <x:v>9.7</x:v>
      </x:c>
      <x:c r="I427" s="3" t="n">
        <x:v>66.5</x:v>
      </x:c>
      <x:c r="J427" s="3" t="n">
        <x:v>2.5</x:v>
      </x:c>
      <x:c r="K427" t="str">
        <x:v>Retail</x:v>
      </x:c>
      <x:c r="L427" t="str">
        <x:v>Tech 6</x:v>
      </x:c>
    </x:row>
    <x:row r="428">
      <x:c r="A428" t="str">
        <x:v>TS-8427</x:v>
      </x:c>
      <x:c r="B428" t="str">
        <x:v>Jul</x:v>
      </x:c>
      <x:c r="C428" t="str">
        <x:v>In Progress</x:v>
      </x:c>
      <x:c r="D428" t="str">
        <x:v>TV</x:v>
      </x:c>
      <x:c r="E428" t="str">
        <x:v>East</x:v>
      </x:c>
      <x:c r="F428" t="str">
        <x:v>Low</x:v>
      </x:c>
      <x:c r="G428" t="str">
        <x:v>Slow Internet</x:v>
      </x:c>
      <x:c r="H428" s="3" t="n">
        <x:v>9</x:v>
      </x:c>
      <x:c r="I428" s="3" t="n">
        <x:v>60.2</x:v>
      </x:c>
      <x:c r="J428" s="3" t="n">
        <x:v>3.6</x:v>
      </x:c>
      <x:c r="K428" t="str">
        <x:v>Phone</x:v>
      </x:c>
      <x:c r="L428" t="str">
        <x:v>Tech 13</x:v>
      </x:c>
    </x:row>
    <x:row r="429">
      <x:c r="A429" t="str">
        <x:v>TS-8428</x:v>
      </x:c>
      <x:c r="B429" t="str">
        <x:v>Aug</x:v>
      </x:c>
      <x:c r="C429" t="str">
        <x:v>Open</x:v>
      </x:c>
      <x:c r="D429" t="str">
        <x:v>Mobile</x:v>
      </x:c>
      <x:c r="E429" t="str">
        <x:v>West</x:v>
      </x:c>
      <x:c r="F429" t="str">
        <x:v>Medium</x:v>
      </x:c>
      <x:c r="G429" t="str">
        <x:v>Service Outage</x:v>
      </x:c>
      <x:c r="H429" s="3" t="n">
        <x:v>10.299999999999999</x:v>
      </x:c>
      <x:c r="I429" s="3" t="n">
        <x:v>61.9</x:v>
      </x:c>
      <x:c r="J429" s="3" t="n">
        <x:v>4.7</x:v>
      </x:c>
      <x:c r="K429" t="str">
        <x:v>Web</x:v>
      </x:c>
      <x:c r="L429" t="str">
        <x:v>Tech 2</x:v>
      </x:c>
    </x:row>
    <x:row r="430">
      <x:c r="A430" t="str">
        <x:v>TS-8429</x:v>
      </x:c>
      <x:c r="B430" t="str">
        <x:v>Sep</x:v>
      </x:c>
      <x:c r="C430" t="str">
        <x:v>Resolved</x:v>
      </x:c>
      <x:c r="D430" t="str">
        <x:v>Broadband</x:v>
      </x:c>
      <x:c r="E430" t="str">
        <x:v>North</x:v>
      </x:c>
      <x:c r="F430" t="str">
        <x:v>High</x:v>
      </x:c>
      <x:c r="G430" t="str">
        <x:v>Dropped Calls</x:v>
      </x:c>
      <x:c r="H430" s="3" t="n">
        <x:v>13.6</x:v>
      </x:c>
      <x:c r="I430" s="3" t="n">
        <x:v>71.6</x:v>
      </x:c>
      <x:c r="J430" s="3" t="n">
        <x:v>3.3</x:v>
      </x:c>
      <x:c r="K430" t="str">
        <x:v>App</x:v>
      </x:c>
      <x:c r="L430" t="str">
        <x:v>Tech 9</x:v>
      </x:c>
    </x:row>
    <x:row r="431">
      <x:c r="A431" t="str">
        <x:v>TS-8430</x:v>
      </x:c>
      <x:c r="B431" t="str">
        <x:v>Oct</x:v>
      </x:c>
      <x:c r="C431" t="str">
        <x:v>In Progress</x:v>
      </x:c>
      <x:c r="D431" t="str">
        <x:v>Landline</x:v>
      </x:c>
      <x:c r="E431" t="str">
        <x:v>South</x:v>
      </x:c>
      <x:c r="F431" t="str">
        <x:v>Low</x:v>
      </x:c>
      <x:c r="G431" t="str">
        <x:v>Billing Error</x:v>
      </x:c>
      <x:c r="H431" s="3" t="n">
        <x:v>12.899999999999999</x:v>
      </x:c>
      <x:c r="I431" s="3" t="n">
        <x:v>65.3</x:v>
      </x:c>
      <x:c r="J431" s="3" t="n">
        <x:v>4.4</x:v>
      </x:c>
      <x:c r="K431" t="str">
        <x:v>Retail</x:v>
      </x:c>
      <x:c r="L431" t="str">
        <x:v>Tech 16</x:v>
      </x:c>
    </x:row>
    <x:row r="432">
      <x:c r="A432" t="str">
        <x:v>TS-8431</x:v>
      </x:c>
      <x:c r="B432" t="str">
        <x:v>Nov</x:v>
      </x:c>
      <x:c r="C432" t="str">
        <x:v>Open</x:v>
      </x:c>
      <x:c r="D432" t="str">
        <x:v>TV</x:v>
      </x:c>
      <x:c r="E432" t="str">
        <x:v>East</x:v>
      </x:c>
      <x:c r="F432" t="str">
        <x:v>Medium</x:v>
      </x:c>
      <x:c r="G432" t="str">
        <x:v>No Signal</x:v>
      </x:c>
      <x:c r="H432" s="3" t="n">
        <x:v>14.2</x:v>
      </x:c>
      <x:c r="I432" s="3" t="n">
        <x:v>67</x:v>
      </x:c>
      <x:c r="J432" s="3" t="n">
        <x:v>3</x:v>
      </x:c>
      <x:c r="K432" t="str">
        <x:v>Phone</x:v>
      </x:c>
      <x:c r="L432" t="str">
        <x:v>Tech 5</x:v>
      </x:c>
    </x:row>
    <x:row r="433">
      <x:c r="A433" t="str">
        <x:v>TS-8432</x:v>
      </x:c>
      <x:c r="B433" t="str">
        <x:v>Dec</x:v>
      </x:c>
      <x:c r="C433" t="str">
        <x:v>Resolved</x:v>
      </x:c>
      <x:c r="D433" t="str">
        <x:v>Mobile</x:v>
      </x:c>
      <x:c r="E433" t="str">
        <x:v>West</x:v>
      </x:c>
      <x:c r="F433" t="str">
        <x:v>High</x:v>
      </x:c>
      <x:c r="G433" t="str">
        <x:v>Installation Delay</x:v>
      </x:c>
      <x:c r="H433" s="3" t="n">
        <x:v>17.5</x:v>
      </x:c>
      <x:c r="I433" s="3" t="n">
        <x:v>76.7</x:v>
      </x:c>
      <x:c r="J433" s="3" t="n">
        <x:v>4.1</x:v>
      </x:c>
      <x:c r="K433" t="str">
        <x:v>Web</x:v>
      </x:c>
      <x:c r="L433" t="str">
        <x:v>Tech 12</x:v>
      </x:c>
    </x:row>
    <x:row r="434">
      <x:c r="A434" t="str">
        <x:v>TS-8433</x:v>
      </x:c>
      <x:c r="B434" t="str">
        <x:v>Jan</x:v>
      </x:c>
      <x:c r="C434" t="str">
        <x:v>In Progress</x:v>
      </x:c>
      <x:c r="D434" t="str">
        <x:v>Broadband</x:v>
      </x:c>
      <x:c r="E434" t="str">
        <x:v>North</x:v>
      </x:c>
      <x:c r="F434" t="str">
        <x:v>Low</x:v>
      </x:c>
      <x:c r="G434" t="str">
        <x:v>Slow Internet</x:v>
      </x:c>
      <x:c r="H434" s="3" t="n">
        <x:v>16.8</x:v>
      </x:c>
      <x:c r="I434" s="3" t="n">
        <x:v>70.4</x:v>
      </x:c>
      <x:c r="J434" s="3" t="n">
        <x:v>2.7</x:v>
      </x:c>
      <x:c r="K434" t="str">
        <x:v>App</x:v>
      </x:c>
      <x:c r="L434" t="str">
        <x:v>Tech 1</x:v>
      </x:c>
    </x:row>
    <x:row r="435">
      <x:c r="A435" t="str">
        <x:v>TS-8434</x:v>
      </x:c>
      <x:c r="B435" t="str">
        <x:v>Feb</x:v>
      </x:c>
      <x:c r="C435" t="str">
        <x:v>Open</x:v>
      </x:c>
      <x:c r="D435" t="str">
        <x:v>Landline</x:v>
      </x:c>
      <x:c r="E435" t="str">
        <x:v>South</x:v>
      </x:c>
      <x:c r="F435" t="str">
        <x:v>Medium</x:v>
      </x:c>
      <x:c r="G435" t="str">
        <x:v>Service Outage</x:v>
      </x:c>
      <x:c r="H435" s="3" t="n">
        <x:v>18.099999999999998</x:v>
      </x:c>
      <x:c r="I435" s="3" t="n">
        <x:v>72.1</x:v>
      </x:c>
      <x:c r="J435" s="3" t="n">
        <x:v>3.8</x:v>
      </x:c>
      <x:c r="K435" t="str">
        <x:v>Retail</x:v>
      </x:c>
      <x:c r="L435" t="str">
        <x:v>Tech 8</x:v>
      </x:c>
    </x:row>
    <x:row r="436">
      <x:c r="A436" t="str">
        <x:v>TS-8435</x:v>
      </x:c>
      <x:c r="B436" t="str">
        <x:v>Mar</x:v>
      </x:c>
      <x:c r="C436" t="str">
        <x:v>Resolved</x:v>
      </x:c>
      <x:c r="D436" t="str">
        <x:v>TV</x:v>
      </x:c>
      <x:c r="E436" t="str">
        <x:v>East</x:v>
      </x:c>
      <x:c r="F436" t="str">
        <x:v>High</x:v>
      </x:c>
      <x:c r="G436" t="str">
        <x:v>Dropped Calls</x:v>
      </x:c>
      <x:c r="H436" s="3" t="n">
        <x:v>21.4</x:v>
      </x:c>
      <x:c r="I436" s="3" t="n">
        <x:v>81.8</x:v>
      </x:c>
      <x:c r="J436" s="3" t="n">
        <x:v>4.9</x:v>
      </x:c>
      <x:c r="K436" t="str">
        <x:v>Phone</x:v>
      </x:c>
      <x:c r="L436" t="str">
        <x:v>Tech 15</x:v>
      </x:c>
    </x:row>
    <x:row r="437">
      <x:c r="A437" t="str">
        <x:v>TS-8436</x:v>
      </x:c>
      <x:c r="B437" t="str">
        <x:v>Apr</x:v>
      </x:c>
      <x:c r="C437" t="str">
        <x:v>In Progress</x:v>
      </x:c>
      <x:c r="D437" t="str">
        <x:v>Mobile</x:v>
      </x:c>
      <x:c r="E437" t="str">
        <x:v>West</x:v>
      </x:c>
      <x:c r="F437" t="str">
        <x:v>Low</x:v>
      </x:c>
      <x:c r="G437" t="str">
        <x:v>Billing Error</x:v>
      </x:c>
      <x:c r="H437" s="3" t="n">
        <x:v>20.7</x:v>
      </x:c>
      <x:c r="I437" s="3" t="n">
        <x:v>75.5</x:v>
      </x:c>
      <x:c r="J437" s="3" t="n">
        <x:v>3.5</x:v>
      </x:c>
      <x:c r="K437" t="str">
        <x:v>Web</x:v>
      </x:c>
      <x:c r="L437" t="str">
        <x:v>Tech 4</x:v>
      </x:c>
    </x:row>
    <x:row r="438">
      <x:c r="A438" t="str">
        <x:v>TS-8437</x:v>
      </x:c>
      <x:c r="B438" t="str">
        <x:v>May</x:v>
      </x:c>
      <x:c r="C438" t="str">
        <x:v>Open</x:v>
      </x:c>
      <x:c r="D438" t="str">
        <x:v>Broadband</x:v>
      </x:c>
      <x:c r="E438" t="str">
        <x:v>North</x:v>
      </x:c>
      <x:c r="F438" t="str">
        <x:v>Medium</x:v>
      </x:c>
      <x:c r="G438" t="str">
        <x:v>No Signal</x:v>
      </x:c>
      <x:c r="H438" s="3" t="n">
        <x:v>22</x:v>
      </x:c>
      <x:c r="I438" s="3" t="n">
        <x:v>77.2</x:v>
      </x:c>
      <x:c r="J438" s="3" t="n">
        <x:v>4.6</x:v>
      </x:c>
      <x:c r="K438" t="str">
        <x:v>App</x:v>
      </x:c>
      <x:c r="L438" t="str">
        <x:v>Tech 11</x:v>
      </x:c>
    </x:row>
    <x:row r="439">
      <x:c r="A439" t="str">
        <x:v>TS-8438</x:v>
      </x:c>
      <x:c r="B439" t="str">
        <x:v>Jun</x:v>
      </x:c>
      <x:c r="C439" t="str">
        <x:v>Open</x:v>
      </x:c>
      <x:c r="D439" t="str">
        <x:v>Landline</x:v>
      </x:c>
      <x:c r="E439" t="str">
        <x:v>South</x:v>
      </x:c>
      <x:c r="F439" t="str">
        <x:v>High</x:v>
      </x:c>
      <x:c r="G439" t="str">
        <x:v>Installation Delay</x:v>
      </x:c>
      <x:c r="H439" s="3" t="n">
        <x:v>4.3</x:v>
      </x:c>
      <x:c r="I439" s="3" t="n">
        <x:v>86.9</x:v>
      </x:c>
      <x:c r="J439" s="3" t="n">
        <x:v>3.2</x:v>
      </x:c>
      <x:c r="K439" t="str">
        <x:v>Retail</x:v>
      </x:c>
      <x:c r="L439" t="str">
        <x:v>Tech 18</x:v>
      </x:c>
    </x:row>
    <x:row r="440">
      <x:c r="A440" t="str">
        <x:v>TS-8439</x:v>
      </x:c>
      <x:c r="B440" t="str">
        <x:v>Jul</x:v>
      </x:c>
      <x:c r="C440" t="str">
        <x:v>Resolved</x:v>
      </x:c>
      <x:c r="D440" t="str">
        <x:v>TV</x:v>
      </x:c>
      <x:c r="E440" t="str">
        <x:v>East</x:v>
      </x:c>
      <x:c r="F440" t="str">
        <x:v>Low</x:v>
      </x:c>
      <x:c r="G440" t="str">
        <x:v>Slow Internet</x:v>
      </x:c>
      <x:c r="H440" s="3" t="n">
        <x:v>3.5999999999999996</x:v>
      </x:c>
      <x:c r="I440" s="3" t="n">
        <x:v>80.6</x:v>
      </x:c>
      <x:c r="J440" s="3" t="n">
        <x:v>4.3</x:v>
      </x:c>
      <x:c r="K440" t="str">
        <x:v>Phone</x:v>
      </x:c>
      <x:c r="L440" t="str">
        <x:v>Tech 7</x:v>
      </x:c>
    </x:row>
    <x:row r="441">
      <x:c r="A441" t="str">
        <x:v>TS-8440</x:v>
      </x:c>
      <x:c r="B441" t="str">
        <x:v>Aug</x:v>
      </x:c>
      <x:c r="C441" t="str">
        <x:v>In Progress</x:v>
      </x:c>
      <x:c r="D441" t="str">
        <x:v>Mobile</x:v>
      </x:c>
      <x:c r="E441" t="str">
        <x:v>West</x:v>
      </x:c>
      <x:c r="F441" t="str">
        <x:v>Medium</x:v>
      </x:c>
      <x:c r="G441" t="str">
        <x:v>Service Outage</x:v>
      </x:c>
      <x:c r="H441" s="3" t="n">
        <x:v>4.9</x:v>
      </x:c>
      <x:c r="I441" s="3" t="n">
        <x:v>82.3</x:v>
      </x:c>
      <x:c r="J441" s="3" t="n">
        <x:v>2.9</x:v>
      </x:c>
      <x:c r="K441" t="str">
        <x:v>Web</x:v>
      </x:c>
      <x:c r="L441" t="str">
        <x:v>Tech 14</x:v>
      </x:c>
    </x:row>
    <x:row r="442">
      <x:c r="A442" t="str">
        <x:v>TS-8441</x:v>
      </x:c>
      <x:c r="B442" t="str">
        <x:v>Sep</x:v>
      </x:c>
      <x:c r="C442" t="str">
        <x:v>Open</x:v>
      </x:c>
      <x:c r="D442" t="str">
        <x:v>Broadband</x:v>
      </x:c>
      <x:c r="E442" t="str">
        <x:v>North</x:v>
      </x:c>
      <x:c r="F442" t="str">
        <x:v>High</x:v>
      </x:c>
      <x:c r="G442" t="str">
        <x:v>Dropped Calls</x:v>
      </x:c>
      <x:c r="H442" s="3" t="n">
        <x:v>8.2</x:v>
      </x:c>
      <x:c r="I442" s="3" t="n">
        <x:v>92</x:v>
      </x:c>
      <x:c r="J442" s="3" t="n">
        <x:v>4</x:v>
      </x:c>
      <x:c r="K442" t="str">
        <x:v>App</x:v>
      </x:c>
      <x:c r="L442" t="str">
        <x:v>Tech 3</x:v>
      </x:c>
    </x:row>
    <x:row r="443">
      <x:c r="A443" t="str">
        <x:v>TS-8442</x:v>
      </x:c>
      <x:c r="B443" t="str">
        <x:v>Oct</x:v>
      </x:c>
      <x:c r="C443" t="str">
        <x:v>Resolved</x:v>
      </x:c>
      <x:c r="D443" t="str">
        <x:v>Landline</x:v>
      </x:c>
      <x:c r="E443" t="str">
        <x:v>South</x:v>
      </x:c>
      <x:c r="F443" t="str">
        <x:v>Low</x:v>
      </x:c>
      <x:c r="G443" t="str">
        <x:v>Billing Error</x:v>
      </x:c>
      <x:c r="H443" s="3" t="n">
        <x:v>7.5</x:v>
      </x:c>
      <x:c r="I443" s="3" t="n">
        <x:v>85.7</x:v>
      </x:c>
      <x:c r="J443" s="3" t="n">
        <x:v>2.6</x:v>
      </x:c>
      <x:c r="K443" t="str">
        <x:v>Retail</x:v>
      </x:c>
      <x:c r="L443" t="str">
        <x:v>Tech 10</x:v>
      </x:c>
    </x:row>
    <x:row r="444">
      <x:c r="A444" t="str">
        <x:v>TS-8443</x:v>
      </x:c>
      <x:c r="B444" t="str">
        <x:v>Nov</x:v>
      </x:c>
      <x:c r="C444" t="str">
        <x:v>In Progress</x:v>
      </x:c>
      <x:c r="D444" t="str">
        <x:v>TV</x:v>
      </x:c>
      <x:c r="E444" t="str">
        <x:v>East</x:v>
      </x:c>
      <x:c r="F444" t="str">
        <x:v>Medium</x:v>
      </x:c>
      <x:c r="G444" t="str">
        <x:v>No Signal</x:v>
      </x:c>
      <x:c r="H444" s="3" t="n">
        <x:v>8.799999999999999</x:v>
      </x:c>
      <x:c r="I444" s="3" t="n">
        <x:v>87.4</x:v>
      </x:c>
      <x:c r="J444" s="3" t="n">
        <x:v>3.7</x:v>
      </x:c>
      <x:c r="K444" t="str">
        <x:v>Phone</x:v>
      </x:c>
      <x:c r="L444" t="str">
        <x:v>Tech 17</x:v>
      </x:c>
    </x:row>
    <x:row r="445">
      <x:c r="A445" t="str">
        <x:v>TS-8444</x:v>
      </x:c>
      <x:c r="B445" t="str">
        <x:v>Dec</x:v>
      </x:c>
      <x:c r="C445" t="str">
        <x:v>Open</x:v>
      </x:c>
      <x:c r="D445" t="str">
        <x:v>Mobile</x:v>
      </x:c>
      <x:c r="E445" t="str">
        <x:v>West</x:v>
      </x:c>
      <x:c r="F445" t="str">
        <x:v>High</x:v>
      </x:c>
      <x:c r="G445" t="str">
        <x:v>Installation Delay</x:v>
      </x:c>
      <x:c r="H445" s="3" t="n">
        <x:v>12.1</x:v>
      </x:c>
      <x:c r="I445" s="3" t="n">
        <x:v>97.1</x:v>
      </x:c>
      <x:c r="J445" s="3" t="n">
        <x:v>4.8</x:v>
      </x:c>
      <x:c r="K445" t="str">
        <x:v>Web</x:v>
      </x:c>
      <x:c r="L445" t="str">
        <x:v>Tech 6</x:v>
      </x:c>
    </x:row>
    <x:row r="446">
      <x:c r="A446" t="str">
        <x:v>TS-8445</x:v>
      </x:c>
      <x:c r="B446" t="str">
        <x:v>Jan</x:v>
      </x:c>
      <x:c r="C446" t="str">
        <x:v>Resolved</x:v>
      </x:c>
      <x:c r="D446" t="str">
        <x:v>Broadband</x:v>
      </x:c>
      <x:c r="E446" t="str">
        <x:v>North</x:v>
      </x:c>
      <x:c r="F446" t="str">
        <x:v>Low</x:v>
      </x:c>
      <x:c r="G446" t="str">
        <x:v>Slow Internet</x:v>
      </x:c>
      <x:c r="H446" s="3" t="n">
        <x:v>11.399999999999999</x:v>
      </x:c>
      <x:c r="I446" s="3" t="n">
        <x:v>90.8</x:v>
      </x:c>
      <x:c r="J446" s="3" t="n">
        <x:v>3.4</x:v>
      </x:c>
      <x:c r="K446" t="str">
        <x:v>App</x:v>
      </x:c>
      <x:c r="L446" t="str">
        <x:v>Tech 13</x:v>
      </x:c>
    </x:row>
    <x:row r="447">
      <x:c r="A447" t="str">
        <x:v>TS-8446</x:v>
      </x:c>
      <x:c r="B447" t="str">
        <x:v>Feb</x:v>
      </x:c>
      <x:c r="C447" t="str">
        <x:v>In Progress</x:v>
      </x:c>
      <x:c r="D447" t="str">
        <x:v>Landline</x:v>
      </x:c>
      <x:c r="E447" t="str">
        <x:v>South</x:v>
      </x:c>
      <x:c r="F447" t="str">
        <x:v>Medium</x:v>
      </x:c>
      <x:c r="G447" t="str">
        <x:v>Service Outage</x:v>
      </x:c>
      <x:c r="H447" s="3" t="n">
        <x:v>12.7</x:v>
      </x:c>
      <x:c r="I447" s="3" t="n">
        <x:v>92.5</x:v>
      </x:c>
      <x:c r="J447" s="3" t="n">
        <x:v>4.5</x:v>
      </x:c>
      <x:c r="K447" t="str">
        <x:v>Retail</x:v>
      </x:c>
      <x:c r="L447" t="str">
        <x:v>Tech 2</x:v>
      </x:c>
    </x:row>
    <x:row r="448">
      <x:c r="A448" t="str">
        <x:v>TS-8447</x:v>
      </x:c>
      <x:c r="B448" t="str">
        <x:v>Mar</x:v>
      </x:c>
      <x:c r="C448" t="str">
        <x:v>Open</x:v>
      </x:c>
      <x:c r="D448" t="str">
        <x:v>TV</x:v>
      </x:c>
      <x:c r="E448" t="str">
        <x:v>East</x:v>
      </x:c>
      <x:c r="F448" t="str">
        <x:v>High</x:v>
      </x:c>
      <x:c r="G448" t="str">
        <x:v>Dropped Calls</x:v>
      </x:c>
      <x:c r="H448" s="3" t="n">
        <x:v>16</x:v>
      </x:c>
      <x:c r="I448" s="3" t="n">
        <x:v>102.2</x:v>
      </x:c>
      <x:c r="J448" s="3" t="n">
        <x:v>3.1</x:v>
      </x:c>
      <x:c r="K448" t="str">
        <x:v>Phone</x:v>
      </x:c>
      <x:c r="L448" t="str">
        <x:v>Tech 9</x:v>
      </x:c>
    </x:row>
    <x:row r="449">
      <x:c r="A449" t="str">
        <x:v>TS-8448</x:v>
      </x:c>
      <x:c r="B449" t="str">
        <x:v>Apr</x:v>
      </x:c>
      <x:c r="C449" t="str">
        <x:v>Resolved</x:v>
      </x:c>
      <x:c r="D449" t="str">
        <x:v>Mobile</x:v>
      </x:c>
      <x:c r="E449" t="str">
        <x:v>West</x:v>
      </x:c>
      <x:c r="F449" t="str">
        <x:v>Low</x:v>
      </x:c>
      <x:c r="G449" t="str">
        <x:v>Billing Error</x:v>
      </x:c>
      <x:c r="H449" s="3" t="n">
        <x:v>15.299999999999999</x:v>
      </x:c>
      <x:c r="I449" s="3" t="n">
        <x:v>95.9</x:v>
      </x:c>
      <x:c r="J449" s="3" t="n">
        <x:v>4.2</x:v>
      </x:c>
      <x:c r="K449" t="str">
        <x:v>Web</x:v>
      </x:c>
      <x:c r="L449" t="str">
        <x:v>Tech 16</x:v>
      </x:c>
    </x:row>
    <x:row r="450">
      <x:c r="A450" t="str">
        <x:v>TS-8449</x:v>
      </x:c>
      <x:c r="B450" t="str">
        <x:v>May</x:v>
      </x:c>
      <x:c r="C450" t="str">
        <x:v>In Progress</x:v>
      </x:c>
      <x:c r="D450" t="str">
        <x:v>Broadband</x:v>
      </x:c>
      <x:c r="E450" t="str">
        <x:v>North</x:v>
      </x:c>
      <x:c r="F450" t="str">
        <x:v>Medium</x:v>
      </x:c>
      <x:c r="G450" t="str">
        <x:v>No Signal</x:v>
      </x:c>
      <x:c r="H450" s="3" t="n">
        <x:v>16.6</x:v>
      </x:c>
      <x:c r="I450" s="3" t="n">
        <x:v>97.6</x:v>
      </x:c>
      <x:c r="J450" s="3" t="n">
        <x:v>2.8</x:v>
      </x:c>
      <x:c r="K450" t="str">
        <x:v>App</x:v>
      </x:c>
      <x:c r="L450" t="str">
        <x:v>Tech 5</x:v>
      </x:c>
    </x:row>
    <x:row r="451">
      <x:c r="A451" t="str">
        <x:v>TS-8450</x:v>
      </x:c>
      <x:c r="B451" t="str">
        <x:v>Jun</x:v>
      </x:c>
      <x:c r="C451" t="str">
        <x:v>Open</x:v>
      </x:c>
      <x:c r="D451" t="str">
        <x:v>Landline</x:v>
      </x:c>
      <x:c r="E451" t="str">
        <x:v>South</x:v>
      </x:c>
      <x:c r="F451" t="str">
        <x:v>High</x:v>
      </x:c>
      <x:c r="G451" t="str">
        <x:v>Installation Delay</x:v>
      </x:c>
      <x:c r="H451" s="3" t="n">
        <x:v>19.9</x:v>
      </x:c>
      <x:c r="I451" s="3" t="n">
        <x:v>107.3</x:v>
      </x:c>
      <x:c r="J451" s="3" t="n">
        <x:v>3.9</x:v>
      </x:c>
      <x:c r="K451" t="str">
        <x:v>Retail</x:v>
      </x:c>
      <x:c r="L451" t="str">
        <x:v>Tech 12</x:v>
      </x:c>
    </x:row>
    <x:row r="452">
      <x:c r="A452" t="str">
        <x:v>TS-8451</x:v>
      </x:c>
      <x:c r="B452" t="str">
        <x:v>Jul</x:v>
      </x:c>
      <x:c r="C452" t="str">
        <x:v>Resolved</x:v>
      </x:c>
      <x:c r="D452" t="str">
        <x:v>TV</x:v>
      </x:c>
      <x:c r="E452" t="str">
        <x:v>East</x:v>
      </x:c>
      <x:c r="F452" t="str">
        <x:v>Low</x:v>
      </x:c>
      <x:c r="G452" t="str">
        <x:v>Slow Internet</x:v>
      </x:c>
      <x:c r="H452" s="3" t="n">
        <x:v>19.2</x:v>
      </x:c>
      <x:c r="I452" s="3" t="n">
        <x:v>101</x:v>
      </x:c>
      <x:c r="J452" s="3" t="n">
        <x:v>2.5</x:v>
      </x:c>
      <x:c r="K452" t="str">
        <x:v>Phone</x:v>
      </x:c>
      <x:c r="L452" t="str">
        <x:v>Tech 1</x:v>
      </x:c>
    </x:row>
    <x:row r="453">
      <x:c r="A453" t="str">
        <x:v>TS-8452</x:v>
      </x:c>
      <x:c r="B453" t="str">
        <x:v>Aug</x:v>
      </x:c>
      <x:c r="C453" t="str">
        <x:v>In Progress</x:v>
      </x:c>
      <x:c r="D453" t="str">
        <x:v>Mobile</x:v>
      </x:c>
      <x:c r="E453" t="str">
        <x:v>West</x:v>
      </x:c>
      <x:c r="F453" t="str">
        <x:v>Medium</x:v>
      </x:c>
      <x:c r="G453" t="str">
        <x:v>Service Outage</x:v>
      </x:c>
      <x:c r="H453" s="3" t="n">
        <x:v>20.5</x:v>
      </x:c>
      <x:c r="I453" s="3" t="n">
        <x:v>102.7</x:v>
      </x:c>
      <x:c r="J453" s="3" t="n">
        <x:v>3.6</x:v>
      </x:c>
      <x:c r="K453" t="str">
        <x:v>Web</x:v>
      </x:c>
      <x:c r="L453" t="str">
        <x:v>Tech 8</x:v>
      </x:c>
    </x:row>
    <x:row r="454">
      <x:c r="A454" t="str">
        <x:v>TS-8453</x:v>
      </x:c>
      <x:c r="B454" t="str">
        <x:v>Sep</x:v>
      </x:c>
      <x:c r="C454" t="str">
        <x:v>Open</x:v>
      </x:c>
      <x:c r="D454" t="str">
        <x:v>Broadband</x:v>
      </x:c>
      <x:c r="E454" t="str">
        <x:v>North</x:v>
      </x:c>
      <x:c r="F454" t="str">
        <x:v>High</x:v>
      </x:c>
      <x:c r="G454" t="str">
        <x:v>Dropped Calls</x:v>
      </x:c>
      <x:c r="H454" s="3" t="n">
        <x:v>23.8</x:v>
      </x:c>
      <x:c r="I454" s="3" t="n">
        <x:v>16.4</x:v>
      </x:c>
      <x:c r="J454" s="3" t="n">
        <x:v>4.7</x:v>
      </x:c>
      <x:c r="K454" t="str">
        <x:v>App</x:v>
      </x:c>
      <x:c r="L454" t="str">
        <x:v>Tech 15</x:v>
      </x:c>
    </x:row>
    <x:row r="455">
      <x:c r="A455" t="str">
        <x:v>TS-8454</x:v>
      </x:c>
      <x:c r="B455" t="str">
        <x:v>Oct</x:v>
      </x:c>
      <x:c r="C455" t="str">
        <x:v>Resolved</x:v>
      </x:c>
      <x:c r="D455" t="str">
        <x:v>Landline</x:v>
      </x:c>
      <x:c r="E455" t="str">
        <x:v>South</x:v>
      </x:c>
      <x:c r="F455" t="str">
        <x:v>Low</x:v>
      </x:c>
      <x:c r="G455" t="str">
        <x:v>Billing Error</x:v>
      </x:c>
      <x:c r="H455" s="3" t="n">
        <x:v>2.1</x:v>
      </x:c>
      <x:c r="I455" s="3" t="n">
        <x:v>10.1</x:v>
      </x:c>
      <x:c r="J455" s="3" t="n">
        <x:v>3.3</x:v>
      </x:c>
      <x:c r="K455" t="str">
        <x:v>Retail</x:v>
      </x:c>
      <x:c r="L455" t="str">
        <x:v>Tech 4</x:v>
      </x:c>
    </x:row>
    <x:row r="456">
      <x:c r="A456" t="str">
        <x:v>TS-8455</x:v>
      </x:c>
      <x:c r="B456" t="str">
        <x:v>Nov</x:v>
      </x:c>
      <x:c r="C456" t="str">
        <x:v>In Progress</x:v>
      </x:c>
      <x:c r="D456" t="str">
        <x:v>TV</x:v>
      </x:c>
      <x:c r="E456" t="str">
        <x:v>East</x:v>
      </x:c>
      <x:c r="F456" t="str">
        <x:v>Medium</x:v>
      </x:c>
      <x:c r="G456" t="str">
        <x:v>No Signal</x:v>
      </x:c>
      <x:c r="H456" s="3" t="n">
        <x:v>3.4000000000000004</x:v>
      </x:c>
      <x:c r="I456" s="3" t="n">
        <x:v>11.8</x:v>
      </x:c>
      <x:c r="J456" s="3" t="n">
        <x:v>4.4</x:v>
      </x:c>
      <x:c r="K456" t="str">
        <x:v>Phone</x:v>
      </x:c>
      <x:c r="L456" t="str">
        <x:v>Tech 11</x:v>
      </x:c>
    </x:row>
    <x:row r="457">
      <x:c r="A457" t="str">
        <x:v>TS-8456</x:v>
      </x:c>
      <x:c r="B457" t="str">
        <x:v>Dec</x:v>
      </x:c>
      <x:c r="C457" t="str">
        <x:v>Open</x:v>
      </x:c>
      <x:c r="D457" t="str">
        <x:v>Mobile</x:v>
      </x:c>
      <x:c r="E457" t="str">
        <x:v>West</x:v>
      </x:c>
      <x:c r="F457" t="str">
        <x:v>High</x:v>
      </x:c>
      <x:c r="G457" t="str">
        <x:v>Installation Delay</x:v>
      </x:c>
      <x:c r="H457" s="3" t="n">
        <x:v>6.7</x:v>
      </x:c>
      <x:c r="I457" s="3" t="n">
        <x:v>21.5</x:v>
      </x:c>
      <x:c r="J457" s="3" t="n">
        <x:v>3</x:v>
      </x:c>
      <x:c r="K457" t="str">
        <x:v>Web</x:v>
      </x:c>
      <x:c r="L457" t="str">
        <x:v>Tech 18</x:v>
      </x:c>
    </x:row>
    <x:row r="458">
      <x:c r="A458" t="str">
        <x:v>TS-8457</x:v>
      </x:c>
      <x:c r="B458" t="str">
        <x:v>Jan</x:v>
      </x:c>
      <x:c r="C458" t="str">
        <x:v>Open</x:v>
      </x:c>
      <x:c r="D458" t="str">
        <x:v>Broadband</x:v>
      </x:c>
      <x:c r="E458" t="str">
        <x:v>North</x:v>
      </x:c>
      <x:c r="F458" t="str">
        <x:v>Low</x:v>
      </x:c>
      <x:c r="G458" t="str">
        <x:v>Slow Internet</x:v>
      </x:c>
      <x:c r="H458" s="3" t="n">
        <x:v>6</x:v>
      </x:c>
      <x:c r="I458" s="3" t="n">
        <x:v>15.2</x:v>
      </x:c>
      <x:c r="J458" s="3" t="n">
        <x:v>4.1</x:v>
      </x:c>
      <x:c r="K458" t="str">
        <x:v>App</x:v>
      </x:c>
      <x:c r="L458" t="str">
        <x:v>Tech 7</x:v>
      </x:c>
    </x:row>
    <x:row r="459">
      <x:c r="A459" t="str">
        <x:v>TS-8458</x:v>
      </x:c>
      <x:c r="B459" t="str">
        <x:v>Feb</x:v>
      </x:c>
      <x:c r="C459" t="str">
        <x:v>Resolved</x:v>
      </x:c>
      <x:c r="D459" t="str">
        <x:v>Landline</x:v>
      </x:c>
      <x:c r="E459" t="str">
        <x:v>South</x:v>
      </x:c>
      <x:c r="F459" t="str">
        <x:v>Medium</x:v>
      </x:c>
      <x:c r="G459" t="str">
        <x:v>Service Outage</x:v>
      </x:c>
      <x:c r="H459" s="3" t="n">
        <x:v>7.3</x:v>
      </x:c>
      <x:c r="I459" s="3" t="n">
        <x:v>16.9</x:v>
      </x:c>
      <x:c r="J459" s="3" t="n">
        <x:v>2.7</x:v>
      </x:c>
      <x:c r="K459" t="str">
        <x:v>Retail</x:v>
      </x:c>
      <x:c r="L459" t="str">
        <x:v>Tech 14</x:v>
      </x:c>
    </x:row>
    <x:row r="460">
      <x:c r="A460" t="str">
        <x:v>TS-8459</x:v>
      </x:c>
      <x:c r="B460" t="str">
        <x:v>Mar</x:v>
      </x:c>
      <x:c r="C460" t="str">
        <x:v>In Progress</x:v>
      </x:c>
      <x:c r="D460" t="str">
        <x:v>TV</x:v>
      </x:c>
      <x:c r="E460" t="str">
        <x:v>East</x:v>
      </x:c>
      <x:c r="F460" t="str">
        <x:v>High</x:v>
      </x:c>
      <x:c r="G460" t="str">
        <x:v>Dropped Calls</x:v>
      </x:c>
      <x:c r="H460" s="3" t="n">
        <x:v>10.6</x:v>
      </x:c>
      <x:c r="I460" s="3" t="n">
        <x:v>26.6</x:v>
      </x:c>
      <x:c r="J460" s="3" t="n">
        <x:v>3.8</x:v>
      </x:c>
      <x:c r="K460" t="str">
        <x:v>Phone</x:v>
      </x:c>
      <x:c r="L460" t="str">
        <x:v>Tech 3</x:v>
      </x:c>
    </x:row>
    <x:row r="461">
      <x:c r="A461" t="str">
        <x:v>TS-8460</x:v>
      </x:c>
      <x:c r="B461" t="str">
        <x:v>Apr</x:v>
      </x:c>
      <x:c r="C461" t="str">
        <x:v>Open</x:v>
      </x:c>
      <x:c r="D461" t="str">
        <x:v>Mobile</x:v>
      </x:c>
      <x:c r="E461" t="str">
        <x:v>West</x:v>
      </x:c>
      <x:c r="F461" t="str">
        <x:v>Low</x:v>
      </x:c>
      <x:c r="G461" t="str">
        <x:v>Billing Error</x:v>
      </x:c>
      <x:c r="H461" s="3" t="n">
        <x:v>9.899999999999999</x:v>
      </x:c>
      <x:c r="I461" s="3" t="n">
        <x:v>20.3</x:v>
      </x:c>
      <x:c r="J461" s="3" t="n">
        <x:v>4.9</x:v>
      </x:c>
      <x:c r="K461" t="str">
        <x:v>Web</x:v>
      </x:c>
      <x:c r="L461" t="str">
        <x:v>Tech 10</x:v>
      </x:c>
    </x:row>
    <x:row r="462">
      <x:c r="A462" t="str">
        <x:v>TS-8461</x:v>
      </x:c>
      <x:c r="B462" t="str">
        <x:v>May</x:v>
      </x:c>
      <x:c r="C462" t="str">
        <x:v>Resolved</x:v>
      </x:c>
      <x:c r="D462" t="str">
        <x:v>Broadband</x:v>
      </x:c>
      <x:c r="E462" t="str">
        <x:v>North</x:v>
      </x:c>
      <x:c r="F462" t="str">
        <x:v>Medium</x:v>
      </x:c>
      <x:c r="G462" t="str">
        <x:v>No Signal</x:v>
      </x:c>
      <x:c r="H462" s="3" t="n">
        <x:v>11.2</x:v>
      </x:c>
      <x:c r="I462" s="3" t="n">
        <x:v>22</x:v>
      </x:c>
      <x:c r="J462" s="3" t="n">
        <x:v>3.5</x:v>
      </x:c>
      <x:c r="K462" t="str">
        <x:v>App</x:v>
      </x:c>
      <x:c r="L462" t="str">
        <x:v>Tech 17</x:v>
      </x:c>
    </x:row>
    <x:row r="463">
      <x:c r="A463" t="str">
        <x:v>TS-8462</x:v>
      </x:c>
      <x:c r="B463" t="str">
        <x:v>Jun</x:v>
      </x:c>
      <x:c r="C463" t="str">
        <x:v>In Progress</x:v>
      </x:c>
      <x:c r="D463" t="str">
        <x:v>Landline</x:v>
      </x:c>
      <x:c r="E463" t="str">
        <x:v>South</x:v>
      </x:c>
      <x:c r="F463" t="str">
        <x:v>High</x:v>
      </x:c>
      <x:c r="G463" t="str">
        <x:v>Installation Delay</x:v>
      </x:c>
      <x:c r="H463" s="3" t="n">
        <x:v>14.5</x:v>
      </x:c>
      <x:c r="I463" s="3" t="n">
        <x:v>31.7</x:v>
      </x:c>
      <x:c r="J463" s="3" t="n">
        <x:v>4.6</x:v>
      </x:c>
      <x:c r="K463" t="str">
        <x:v>Retail</x:v>
      </x:c>
      <x:c r="L463" t="str">
        <x:v>Tech 6</x:v>
      </x:c>
    </x:row>
    <x:row r="464">
      <x:c r="A464" t="str">
        <x:v>TS-8463</x:v>
      </x:c>
      <x:c r="B464" t="str">
        <x:v>Jul</x:v>
      </x:c>
      <x:c r="C464" t="str">
        <x:v>Open</x:v>
      </x:c>
      <x:c r="D464" t="str">
        <x:v>TV</x:v>
      </x:c>
      <x:c r="E464" t="str">
        <x:v>East</x:v>
      </x:c>
      <x:c r="F464" t="str">
        <x:v>Low</x:v>
      </x:c>
      <x:c r="G464" t="str">
        <x:v>Slow Internet</x:v>
      </x:c>
      <x:c r="H464" s="3" t="n">
        <x:v>13.799999999999999</x:v>
      </x:c>
      <x:c r="I464" s="3" t="n">
        <x:v>25.4</x:v>
      </x:c>
      <x:c r="J464" s="3" t="n">
        <x:v>3.2</x:v>
      </x:c>
      <x:c r="K464" t="str">
        <x:v>Phone</x:v>
      </x:c>
      <x:c r="L464" t="str">
        <x:v>Tech 13</x:v>
      </x:c>
    </x:row>
    <x:row r="465">
      <x:c r="A465" t="str">
        <x:v>TS-8464</x:v>
      </x:c>
      <x:c r="B465" t="str">
        <x:v>Aug</x:v>
      </x:c>
      <x:c r="C465" t="str">
        <x:v>Resolved</x:v>
      </x:c>
      <x:c r="D465" t="str">
        <x:v>Mobile</x:v>
      </x:c>
      <x:c r="E465" t="str">
        <x:v>West</x:v>
      </x:c>
      <x:c r="F465" t="str">
        <x:v>Medium</x:v>
      </x:c>
      <x:c r="G465" t="str">
        <x:v>Service Outage</x:v>
      </x:c>
      <x:c r="H465" s="3" t="n">
        <x:v>15.1</x:v>
      </x:c>
      <x:c r="I465" s="3" t="n">
        <x:v>27.1</x:v>
      </x:c>
      <x:c r="J465" s="3" t="n">
        <x:v>4.3</x:v>
      </x:c>
      <x:c r="K465" t="str">
        <x:v>Web</x:v>
      </x:c>
      <x:c r="L465" t="str">
        <x:v>Tech 2</x:v>
      </x:c>
    </x:row>
    <x:row r="466">
      <x:c r="A466" t="str">
        <x:v>TS-8465</x:v>
      </x:c>
      <x:c r="B466" t="str">
        <x:v>Sep</x:v>
      </x:c>
      <x:c r="C466" t="str">
        <x:v>In Progress</x:v>
      </x:c>
      <x:c r="D466" t="str">
        <x:v>Broadband</x:v>
      </x:c>
      <x:c r="E466" t="str">
        <x:v>North</x:v>
      </x:c>
      <x:c r="F466" t="str">
        <x:v>High</x:v>
      </x:c>
      <x:c r="G466" t="str">
        <x:v>Dropped Calls</x:v>
      </x:c>
      <x:c r="H466" s="3" t="n">
        <x:v>18.4</x:v>
      </x:c>
      <x:c r="I466" s="3" t="n">
        <x:v>36.8</x:v>
      </x:c>
      <x:c r="J466" s="3" t="n">
        <x:v>2.9</x:v>
      </x:c>
      <x:c r="K466" t="str">
        <x:v>App</x:v>
      </x:c>
      <x:c r="L466" t="str">
        <x:v>Tech 9</x:v>
      </x:c>
    </x:row>
    <x:row r="467">
      <x:c r="A467" t="str">
        <x:v>TS-8466</x:v>
      </x:c>
      <x:c r="B467" t="str">
        <x:v>Oct</x:v>
      </x:c>
      <x:c r="C467" t="str">
        <x:v>Open</x:v>
      </x:c>
      <x:c r="D467" t="str">
        <x:v>Landline</x:v>
      </x:c>
      <x:c r="E467" t="str">
        <x:v>South</x:v>
      </x:c>
      <x:c r="F467" t="str">
        <x:v>Low</x:v>
      </x:c>
      <x:c r="G467" t="str">
        <x:v>Billing Error</x:v>
      </x:c>
      <x:c r="H467" s="3" t="n">
        <x:v>17.7</x:v>
      </x:c>
      <x:c r="I467" s="3" t="n">
        <x:v>30.5</x:v>
      </x:c>
      <x:c r="J467" s="3" t="n">
        <x:v>4</x:v>
      </x:c>
      <x:c r="K467" t="str">
        <x:v>Retail</x:v>
      </x:c>
      <x:c r="L467" t="str">
        <x:v>Tech 16</x:v>
      </x:c>
    </x:row>
    <x:row r="468">
      <x:c r="A468" t="str">
        <x:v>TS-8467</x:v>
      </x:c>
      <x:c r="B468" t="str">
        <x:v>Nov</x:v>
      </x:c>
      <x:c r="C468" t="str">
        <x:v>Resolved</x:v>
      </x:c>
      <x:c r="D468" t="str">
        <x:v>TV</x:v>
      </x:c>
      <x:c r="E468" t="str">
        <x:v>East</x:v>
      </x:c>
      <x:c r="F468" t="str">
        <x:v>Medium</x:v>
      </x:c>
      <x:c r="G468" t="str">
        <x:v>No Signal</x:v>
      </x:c>
      <x:c r="H468" s="3" t="n">
        <x:v>19</x:v>
      </x:c>
      <x:c r="I468" s="3" t="n">
        <x:v>32.2</x:v>
      </x:c>
      <x:c r="J468" s="3" t="n">
        <x:v>2.6</x:v>
      </x:c>
      <x:c r="K468" t="str">
        <x:v>Phone</x:v>
      </x:c>
      <x:c r="L468" t="str">
        <x:v>Tech 5</x:v>
      </x:c>
    </x:row>
    <x:row r="469">
      <x:c r="A469" t="str">
        <x:v>TS-8468</x:v>
      </x:c>
      <x:c r="B469" t="str">
        <x:v>Dec</x:v>
      </x:c>
      <x:c r="C469" t="str">
        <x:v>In Progress</x:v>
      </x:c>
      <x:c r="D469" t="str">
        <x:v>Mobile</x:v>
      </x:c>
      <x:c r="E469" t="str">
        <x:v>West</x:v>
      </x:c>
      <x:c r="F469" t="str">
        <x:v>High</x:v>
      </x:c>
      <x:c r="G469" t="str">
        <x:v>Installation Delay</x:v>
      </x:c>
      <x:c r="H469" s="3" t="n">
        <x:v>22.3</x:v>
      </x:c>
      <x:c r="I469" s="3" t="n">
        <x:v>41.9</x:v>
      </x:c>
      <x:c r="J469" s="3" t="n">
        <x:v>3.7</x:v>
      </x:c>
      <x:c r="K469" t="str">
        <x:v>Web</x:v>
      </x:c>
      <x:c r="L469" t="str">
        <x:v>Tech 12</x:v>
      </x:c>
    </x:row>
    <x:row r="470">
      <x:c r="A470" t="str">
        <x:v>TS-8469</x:v>
      </x:c>
      <x:c r="B470" t="str">
        <x:v>Jan</x:v>
      </x:c>
      <x:c r="C470" t="str">
        <x:v>Open</x:v>
      </x:c>
      <x:c r="D470" t="str">
        <x:v>Broadband</x:v>
      </x:c>
      <x:c r="E470" t="str">
        <x:v>North</x:v>
      </x:c>
      <x:c r="F470" t="str">
        <x:v>Low</x:v>
      </x:c>
      <x:c r="G470" t="str">
        <x:v>Slow Internet</x:v>
      </x:c>
      <x:c r="H470" s="3" t="n">
        <x:v>21.599999999999998</x:v>
      </x:c>
      <x:c r="I470" s="3" t="n">
        <x:v>35.6</x:v>
      </x:c>
      <x:c r="J470" s="3" t="n">
        <x:v>4.8</x:v>
      </x:c>
      <x:c r="K470" t="str">
        <x:v>App</x:v>
      </x:c>
      <x:c r="L470" t="str">
        <x:v>Tech 1</x:v>
      </x:c>
    </x:row>
    <x:row r="471">
      <x:c r="A471" t="str">
        <x:v>TS-8470</x:v>
      </x:c>
      <x:c r="B471" t="str">
        <x:v>Feb</x:v>
      </x:c>
      <x:c r="C471" t="str">
        <x:v>Resolved</x:v>
      </x:c>
      <x:c r="D471" t="str">
        <x:v>Landline</x:v>
      </x:c>
      <x:c r="E471" t="str">
        <x:v>South</x:v>
      </x:c>
      <x:c r="F471" t="str">
        <x:v>Medium</x:v>
      </x:c>
      <x:c r="G471" t="str">
        <x:v>Service Outage</x:v>
      </x:c>
      <x:c r="H471" s="3" t="n">
        <x:v>1.9</x:v>
      </x:c>
      <x:c r="I471" s="3" t="n">
        <x:v>37.3</x:v>
      </x:c>
      <x:c r="J471" s="3" t="n">
        <x:v>3.4</x:v>
      </x:c>
      <x:c r="K471" t="str">
        <x:v>Retail</x:v>
      </x:c>
      <x:c r="L471" t="str">
        <x:v>Tech 8</x:v>
      </x:c>
    </x:row>
    <x:row r="472">
      <x:c r="A472" t="str">
        <x:v>TS-8471</x:v>
      </x:c>
      <x:c r="B472" t="str">
        <x:v>Mar</x:v>
      </x:c>
      <x:c r="C472" t="str">
        <x:v>In Progress</x:v>
      </x:c>
      <x:c r="D472" t="str">
        <x:v>TV</x:v>
      </x:c>
      <x:c r="E472" t="str">
        <x:v>East</x:v>
      </x:c>
      <x:c r="F472" t="str">
        <x:v>High</x:v>
      </x:c>
      <x:c r="G472" t="str">
        <x:v>Dropped Calls</x:v>
      </x:c>
      <x:c r="H472" s="3" t="n">
        <x:v>5.2</x:v>
      </x:c>
      <x:c r="I472" s="3" t="n">
        <x:v>47</x:v>
      </x:c>
      <x:c r="J472" s="3" t="n">
        <x:v>4.5</x:v>
      </x:c>
      <x:c r="K472" t="str">
        <x:v>Phone</x:v>
      </x:c>
      <x:c r="L472" t="str">
        <x:v>Tech 15</x:v>
      </x:c>
    </x:row>
    <x:row r="473">
      <x:c r="A473" t="str">
        <x:v>TS-8472</x:v>
      </x:c>
      <x:c r="B473" t="str">
        <x:v>Apr</x:v>
      </x:c>
      <x:c r="C473" t="str">
        <x:v>Open</x:v>
      </x:c>
      <x:c r="D473" t="str">
        <x:v>Mobile</x:v>
      </x:c>
      <x:c r="E473" t="str">
        <x:v>West</x:v>
      </x:c>
      <x:c r="F473" t="str">
        <x:v>Low</x:v>
      </x:c>
      <x:c r="G473" t="str">
        <x:v>Billing Error</x:v>
      </x:c>
      <x:c r="H473" s="3" t="n">
        <x:v>4.5</x:v>
      </x:c>
      <x:c r="I473" s="3" t="n">
        <x:v>40.7</x:v>
      </x:c>
      <x:c r="J473" s="3" t="n">
        <x:v>3.1</x:v>
      </x:c>
      <x:c r="K473" t="str">
        <x:v>Web</x:v>
      </x:c>
      <x:c r="L473" t="str">
        <x:v>Tech 4</x:v>
      </x:c>
    </x:row>
    <x:row r="474">
      <x:c r="A474" t="str">
        <x:v>TS-8473</x:v>
      </x:c>
      <x:c r="B474" t="str">
        <x:v>May</x:v>
      </x:c>
      <x:c r="C474" t="str">
        <x:v>Resolved</x:v>
      </x:c>
      <x:c r="D474" t="str">
        <x:v>Broadband</x:v>
      </x:c>
      <x:c r="E474" t="str">
        <x:v>North</x:v>
      </x:c>
      <x:c r="F474" t="str">
        <x:v>Medium</x:v>
      </x:c>
      <x:c r="G474" t="str">
        <x:v>No Signal</x:v>
      </x:c>
      <x:c r="H474" s="3" t="n">
        <x:v>5.8</x:v>
      </x:c>
      <x:c r="I474" s="3" t="n">
        <x:v>42.4</x:v>
      </x:c>
      <x:c r="J474" s="3" t="n">
        <x:v>4.2</x:v>
      </x:c>
      <x:c r="K474" t="str">
        <x:v>App</x:v>
      </x:c>
      <x:c r="L474" t="str">
        <x:v>Tech 11</x:v>
      </x:c>
    </x:row>
    <x:row r="475">
      <x:c r="A475" t="str">
        <x:v>TS-8474</x:v>
      </x:c>
      <x:c r="B475" t="str">
        <x:v>Jun</x:v>
      </x:c>
      <x:c r="C475" t="str">
        <x:v>In Progress</x:v>
      </x:c>
      <x:c r="D475" t="str">
        <x:v>Landline</x:v>
      </x:c>
      <x:c r="E475" t="str">
        <x:v>South</x:v>
      </x:c>
      <x:c r="F475" t="str">
        <x:v>High</x:v>
      </x:c>
      <x:c r="G475" t="str">
        <x:v>Installation Delay</x:v>
      </x:c>
      <x:c r="H475" s="3" t="n">
        <x:v>9.100000000000001</x:v>
      </x:c>
      <x:c r="I475" s="3" t="n">
        <x:v>52.1</x:v>
      </x:c>
      <x:c r="J475" s="3" t="n">
        <x:v>2.8</x:v>
      </x:c>
      <x:c r="K475" t="str">
        <x:v>Retail</x:v>
      </x:c>
      <x:c r="L475" t="str">
        <x:v>Tech 18</x:v>
      </x:c>
    </x:row>
    <x:row r="476">
      <x:c r="A476" t="str">
        <x:v>TS-8475</x:v>
      </x:c>
      <x:c r="B476" t="str">
        <x:v>Jul</x:v>
      </x:c>
      <x:c r="C476" t="str">
        <x:v>Open</x:v>
      </x:c>
      <x:c r="D476" t="str">
        <x:v>TV</x:v>
      </x:c>
      <x:c r="E476" t="str">
        <x:v>East</x:v>
      </x:c>
      <x:c r="F476" t="str">
        <x:v>Low</x:v>
      </x:c>
      <x:c r="G476" t="str">
        <x:v>Slow Internet</x:v>
      </x:c>
      <x:c r="H476" s="3" t="n">
        <x:v>8.4</x:v>
      </x:c>
      <x:c r="I476" s="3" t="n">
        <x:v>45.8</x:v>
      </x:c>
      <x:c r="J476" s="3" t="n">
        <x:v>3.9</x:v>
      </x:c>
      <x:c r="K476" t="str">
        <x:v>Phone</x:v>
      </x:c>
      <x:c r="L476" t="str">
        <x:v>Tech 7</x:v>
      </x:c>
    </x:row>
    <x:row r="477">
      <x:c r="A477" t="str">
        <x:v>TS-8476</x:v>
      </x:c>
      <x:c r="B477" t="str">
        <x:v>Aug</x:v>
      </x:c>
      <x:c r="C477" t="str">
        <x:v>Open</x:v>
      </x:c>
      <x:c r="D477" t="str">
        <x:v>Mobile</x:v>
      </x:c>
      <x:c r="E477" t="str">
        <x:v>West</x:v>
      </x:c>
      <x:c r="F477" t="str">
        <x:v>Medium</x:v>
      </x:c>
      <x:c r="G477" t="str">
        <x:v>Service Outage</x:v>
      </x:c>
      <x:c r="H477" s="3" t="n">
        <x:v>9.7</x:v>
      </x:c>
      <x:c r="I477" s="3" t="n">
        <x:v>47.5</x:v>
      </x:c>
      <x:c r="J477" s="3" t="n">
        <x:v>2.5</x:v>
      </x:c>
      <x:c r="K477" t="str">
        <x:v>Web</x:v>
      </x:c>
      <x:c r="L477" t="str">
        <x:v>Tech 14</x:v>
      </x:c>
    </x:row>
    <x:row r="478">
      <x:c r="A478" t="str">
        <x:v>TS-8477</x:v>
      </x:c>
      <x:c r="B478" t="str">
        <x:v>Sep</x:v>
      </x:c>
      <x:c r="C478" t="str">
        <x:v>Resolved</x:v>
      </x:c>
      <x:c r="D478" t="str">
        <x:v>Broadband</x:v>
      </x:c>
      <x:c r="E478" t="str">
        <x:v>North</x:v>
      </x:c>
      <x:c r="F478" t="str">
        <x:v>High</x:v>
      </x:c>
      <x:c r="G478" t="str">
        <x:v>Dropped Calls</x:v>
      </x:c>
      <x:c r="H478" s="3" t="n">
        <x:v>13</x:v>
      </x:c>
      <x:c r="I478" s="3" t="n">
        <x:v>57.2</x:v>
      </x:c>
      <x:c r="J478" s="3" t="n">
        <x:v>3.6</x:v>
      </x:c>
      <x:c r="K478" t="str">
        <x:v>App</x:v>
      </x:c>
      <x:c r="L478" t="str">
        <x:v>Tech 3</x:v>
      </x:c>
    </x:row>
    <x:row r="479">
      <x:c r="A479" t="str">
        <x:v>TS-8478</x:v>
      </x:c>
      <x:c r="B479" t="str">
        <x:v>Oct</x:v>
      </x:c>
      <x:c r="C479" t="str">
        <x:v>In Progress</x:v>
      </x:c>
      <x:c r="D479" t="str">
        <x:v>Landline</x:v>
      </x:c>
      <x:c r="E479" t="str">
        <x:v>South</x:v>
      </x:c>
      <x:c r="F479" t="str">
        <x:v>Low</x:v>
      </x:c>
      <x:c r="G479" t="str">
        <x:v>Billing Error</x:v>
      </x:c>
      <x:c r="H479" s="3" t="n">
        <x:v>12.299999999999999</x:v>
      </x:c>
      <x:c r="I479" s="3" t="n">
        <x:v>50.9</x:v>
      </x:c>
      <x:c r="J479" s="3" t="n">
        <x:v>4.7</x:v>
      </x:c>
      <x:c r="K479" t="str">
        <x:v>Retail</x:v>
      </x:c>
      <x:c r="L479" t="str">
        <x:v>Tech 10</x:v>
      </x:c>
    </x:row>
    <x:row r="480">
      <x:c r="A480" t="str">
        <x:v>TS-8479</x:v>
      </x:c>
      <x:c r="B480" t="str">
        <x:v>Nov</x:v>
      </x:c>
      <x:c r="C480" t="str">
        <x:v>Open</x:v>
      </x:c>
      <x:c r="D480" t="str">
        <x:v>TV</x:v>
      </x:c>
      <x:c r="E480" t="str">
        <x:v>East</x:v>
      </x:c>
      <x:c r="F480" t="str">
        <x:v>Medium</x:v>
      </x:c>
      <x:c r="G480" t="str">
        <x:v>No Signal</x:v>
      </x:c>
      <x:c r="H480" s="3" t="n">
        <x:v>13.6</x:v>
      </x:c>
      <x:c r="I480" s="3" t="n">
        <x:v>52.6</x:v>
      </x:c>
      <x:c r="J480" s="3" t="n">
        <x:v>3.3</x:v>
      </x:c>
      <x:c r="K480" t="str">
        <x:v>Phone</x:v>
      </x:c>
      <x:c r="L480" t="str">
        <x:v>Tech 17</x:v>
      </x:c>
    </x:row>
    <x:row r="481">
      <x:c r="A481" t="str">
        <x:v>TS-8480</x:v>
      </x:c>
      <x:c r="B481" t="str">
        <x:v>Dec</x:v>
      </x:c>
      <x:c r="C481" t="str">
        <x:v>Resolved</x:v>
      </x:c>
      <x:c r="D481" t="str">
        <x:v>Mobile</x:v>
      </x:c>
      <x:c r="E481" t="str">
        <x:v>West</x:v>
      </x:c>
      <x:c r="F481" t="str">
        <x:v>High</x:v>
      </x:c>
      <x:c r="G481" t="str">
        <x:v>Installation Delay</x:v>
      </x:c>
      <x:c r="H481" s="3" t="n">
        <x:v>16.9</x:v>
      </x:c>
      <x:c r="I481" s="3" t="n">
        <x:v>62.3</x:v>
      </x:c>
      <x:c r="J481" s="3" t="n">
        <x:v>4.4</x:v>
      </x:c>
      <x:c r="K481" t="str">
        <x:v>Web</x:v>
      </x:c>
      <x:c r="L481" t="str">
        <x:v>Tech 6</x:v>
      </x:c>
    </x:row>
    <x:row r="482">
      <x:c r="A482" t="str">
        <x:v>TS-8481</x:v>
      </x:c>
      <x:c r="B482" t="str">
        <x:v>Jan</x:v>
      </x:c>
      <x:c r="C482" t="str">
        <x:v>In Progress</x:v>
      </x:c>
      <x:c r="D482" t="str">
        <x:v>Broadband</x:v>
      </x:c>
      <x:c r="E482" t="str">
        <x:v>North</x:v>
      </x:c>
      <x:c r="F482" t="str">
        <x:v>Low</x:v>
      </x:c>
      <x:c r="G482" t="str">
        <x:v>Slow Internet</x:v>
      </x:c>
      <x:c r="H482" s="3" t="n">
        <x:v>16.2</x:v>
      </x:c>
      <x:c r="I482" s="3" t="n">
        <x:v>56</x:v>
      </x:c>
      <x:c r="J482" s="3" t="n">
        <x:v>3</x:v>
      </x:c>
      <x:c r="K482" t="str">
        <x:v>App</x:v>
      </x:c>
      <x:c r="L482" t="str">
        <x:v>Tech 13</x:v>
      </x:c>
    </x:row>
    <x:row r="483">
      <x:c r="A483" t="str">
        <x:v>TS-8482</x:v>
      </x:c>
      <x:c r="B483" t="str">
        <x:v>Feb</x:v>
      </x:c>
      <x:c r="C483" t="str">
        <x:v>Open</x:v>
      </x:c>
      <x:c r="D483" t="str">
        <x:v>Landline</x:v>
      </x:c>
      <x:c r="E483" t="str">
        <x:v>South</x:v>
      </x:c>
      <x:c r="F483" t="str">
        <x:v>Medium</x:v>
      </x:c>
      <x:c r="G483" t="str">
        <x:v>Service Outage</x:v>
      </x:c>
      <x:c r="H483" s="3" t="n">
        <x:v>17.5</x:v>
      </x:c>
      <x:c r="I483" s="3" t="n">
        <x:v>57.7</x:v>
      </x:c>
      <x:c r="J483" s="3" t="n">
        <x:v>4.1</x:v>
      </x:c>
      <x:c r="K483" t="str">
        <x:v>Retail</x:v>
      </x:c>
      <x:c r="L483" t="str">
        <x:v>Tech 2</x:v>
      </x:c>
    </x:row>
    <x:row r="484">
      <x:c r="A484" t="str">
        <x:v>TS-8483</x:v>
      </x:c>
      <x:c r="B484" t="str">
        <x:v>Mar</x:v>
      </x:c>
      <x:c r="C484" t="str">
        <x:v>Resolved</x:v>
      </x:c>
      <x:c r="D484" t="str">
        <x:v>TV</x:v>
      </x:c>
      <x:c r="E484" t="str">
        <x:v>East</x:v>
      </x:c>
      <x:c r="F484" t="str">
        <x:v>High</x:v>
      </x:c>
      <x:c r="G484" t="str">
        <x:v>Dropped Calls</x:v>
      </x:c>
      <x:c r="H484" s="3" t="n">
        <x:v>20.8</x:v>
      </x:c>
      <x:c r="I484" s="3" t="n">
        <x:v>67.4</x:v>
      </x:c>
      <x:c r="J484" s="3" t="n">
        <x:v>2.7</x:v>
      </x:c>
      <x:c r="K484" t="str">
        <x:v>Phone</x:v>
      </x:c>
      <x:c r="L484" t="str">
        <x:v>Tech 9</x:v>
      </x:c>
    </x:row>
    <x:row r="485">
      <x:c r="A485" t="str">
        <x:v>TS-8484</x:v>
      </x:c>
      <x:c r="B485" t="str">
        <x:v>Apr</x:v>
      </x:c>
      <x:c r="C485" t="str">
        <x:v>In Progress</x:v>
      </x:c>
      <x:c r="D485" t="str">
        <x:v>Mobile</x:v>
      </x:c>
      <x:c r="E485" t="str">
        <x:v>West</x:v>
      </x:c>
      <x:c r="F485" t="str">
        <x:v>Low</x:v>
      </x:c>
      <x:c r="G485" t="str">
        <x:v>Billing Error</x:v>
      </x:c>
      <x:c r="H485" s="3" t="n">
        <x:v>20.099999999999998</x:v>
      </x:c>
      <x:c r="I485" s="3" t="n">
        <x:v>61.1</x:v>
      </x:c>
      <x:c r="J485" s="3" t="n">
        <x:v>3.8</x:v>
      </x:c>
      <x:c r="K485" t="str">
        <x:v>Web</x:v>
      </x:c>
      <x:c r="L485" t="str">
        <x:v>Tech 16</x:v>
      </x:c>
    </x:row>
    <x:row r="486">
      <x:c r="A486" t="str">
        <x:v>TS-8485</x:v>
      </x:c>
      <x:c r="B486" t="str">
        <x:v>May</x:v>
      </x:c>
      <x:c r="C486" t="str">
        <x:v>Open</x:v>
      </x:c>
      <x:c r="D486" t="str">
        <x:v>Broadband</x:v>
      </x:c>
      <x:c r="E486" t="str">
        <x:v>North</x:v>
      </x:c>
      <x:c r="F486" t="str">
        <x:v>Medium</x:v>
      </x:c>
      <x:c r="G486" t="str">
        <x:v>No Signal</x:v>
      </x:c>
      <x:c r="H486" s="3" t="n">
        <x:v>21.4</x:v>
      </x:c>
      <x:c r="I486" s="3" t="n">
        <x:v>62.8</x:v>
      </x:c>
      <x:c r="J486" s="3" t="n">
        <x:v>4.9</x:v>
      </x:c>
      <x:c r="K486" t="str">
        <x:v>App</x:v>
      </x:c>
      <x:c r="L486" t="str">
        <x:v>Tech 5</x:v>
      </x:c>
    </x:row>
    <x:row r="487">
      <x:c r="A487" t="str">
        <x:v>TS-8486</x:v>
      </x:c>
      <x:c r="B487" t="str">
        <x:v>Jun</x:v>
      </x:c>
      <x:c r="C487" t="str">
        <x:v>Resolved</x:v>
      </x:c>
      <x:c r="D487" t="str">
        <x:v>Landline</x:v>
      </x:c>
      <x:c r="E487" t="str">
        <x:v>South</x:v>
      </x:c>
      <x:c r="F487" t="str">
        <x:v>High</x:v>
      </x:c>
      <x:c r="G487" t="str">
        <x:v>Installation Delay</x:v>
      </x:c>
      <x:c r="H487" s="3" t="n">
        <x:v>3.7</x:v>
      </x:c>
      <x:c r="I487" s="3" t="n">
        <x:v>72.5</x:v>
      </x:c>
      <x:c r="J487" s="3" t="n">
        <x:v>3.5</x:v>
      </x:c>
      <x:c r="K487" t="str">
        <x:v>Retail</x:v>
      </x:c>
      <x:c r="L487" t="str">
        <x:v>Tech 12</x:v>
      </x:c>
    </x:row>
    <x:row r="488">
      <x:c r="A488" t="str">
        <x:v>TS-8487</x:v>
      </x:c>
      <x:c r="B488" t="str">
        <x:v>Jul</x:v>
      </x:c>
      <x:c r="C488" t="str">
        <x:v>In Progress</x:v>
      </x:c>
      <x:c r="D488" t="str">
        <x:v>TV</x:v>
      </x:c>
      <x:c r="E488" t="str">
        <x:v>East</x:v>
      </x:c>
      <x:c r="F488" t="str">
        <x:v>Low</x:v>
      </x:c>
      <x:c r="G488" t="str">
        <x:v>Slow Internet</x:v>
      </x:c>
      <x:c r="H488" s="3" t="n">
        <x:v>3</x:v>
      </x:c>
      <x:c r="I488" s="3" t="n">
        <x:v>66.2</x:v>
      </x:c>
      <x:c r="J488" s="3" t="n">
        <x:v>4.6</x:v>
      </x:c>
      <x:c r="K488" t="str">
        <x:v>Phone</x:v>
      </x:c>
      <x:c r="L488" t="str">
        <x:v>Tech 1</x:v>
      </x:c>
    </x:row>
    <x:row r="489">
      <x:c r="A489" t="str">
        <x:v>TS-8488</x:v>
      </x:c>
      <x:c r="B489" t="str">
        <x:v>Aug</x:v>
      </x:c>
      <x:c r="C489" t="str">
        <x:v>Open</x:v>
      </x:c>
      <x:c r="D489" t="str">
        <x:v>Mobile</x:v>
      </x:c>
      <x:c r="E489" t="str">
        <x:v>West</x:v>
      </x:c>
      <x:c r="F489" t="str">
        <x:v>Medium</x:v>
      </x:c>
      <x:c r="G489" t="str">
        <x:v>Service Outage</x:v>
      </x:c>
      <x:c r="H489" s="3" t="n">
        <x:v>4.3</x:v>
      </x:c>
      <x:c r="I489" s="3" t="n">
        <x:v>67.9</x:v>
      </x:c>
      <x:c r="J489" s="3" t="n">
        <x:v>3.2</x:v>
      </x:c>
      <x:c r="K489" t="str">
        <x:v>Web</x:v>
      </x:c>
      <x:c r="L489" t="str">
        <x:v>Tech 8</x:v>
      </x:c>
    </x:row>
    <x:row r="490">
      <x:c r="A490" t="str">
        <x:v>TS-8489</x:v>
      </x:c>
      <x:c r="B490" t="str">
        <x:v>Sep</x:v>
      </x:c>
      <x:c r="C490" t="str">
        <x:v>Resolved</x:v>
      </x:c>
      <x:c r="D490" t="str">
        <x:v>Broadband</x:v>
      </x:c>
      <x:c r="E490" t="str">
        <x:v>North</x:v>
      </x:c>
      <x:c r="F490" t="str">
        <x:v>High</x:v>
      </x:c>
      <x:c r="G490" t="str">
        <x:v>Dropped Calls</x:v>
      </x:c>
      <x:c r="H490" s="3" t="n">
        <x:v>7.6000000000000005</x:v>
      </x:c>
      <x:c r="I490" s="3" t="n">
        <x:v>77.6</x:v>
      </x:c>
      <x:c r="J490" s="3" t="n">
        <x:v>4.3</x:v>
      </x:c>
      <x:c r="K490" t="str">
        <x:v>App</x:v>
      </x:c>
      <x:c r="L490" t="str">
        <x:v>Tech 15</x:v>
      </x:c>
    </x:row>
    <x:row r="491">
      <x:c r="A491" t="str">
        <x:v>TS-8490</x:v>
      </x:c>
      <x:c r="B491" t="str">
        <x:v>Oct</x:v>
      </x:c>
      <x:c r="C491" t="str">
        <x:v>In Progress</x:v>
      </x:c>
      <x:c r="D491" t="str">
        <x:v>Landline</x:v>
      </x:c>
      <x:c r="E491" t="str">
        <x:v>South</x:v>
      </x:c>
      <x:c r="F491" t="str">
        <x:v>Low</x:v>
      </x:c>
      <x:c r="G491" t="str">
        <x:v>Billing Error</x:v>
      </x:c>
      <x:c r="H491" s="3" t="n">
        <x:v>6.9</x:v>
      </x:c>
      <x:c r="I491" s="3" t="n">
        <x:v>71.3</x:v>
      </x:c>
      <x:c r="J491" s="3" t="n">
        <x:v>2.9</x:v>
      </x:c>
      <x:c r="K491" t="str">
        <x:v>Retail</x:v>
      </x:c>
      <x:c r="L491" t="str">
        <x:v>Tech 4</x:v>
      </x:c>
    </x:row>
    <x:row r="492">
      <x:c r="A492" t="str">
        <x:v>TS-8491</x:v>
      </x:c>
      <x:c r="B492" t="str">
        <x:v>Nov</x:v>
      </x:c>
      <x:c r="C492" t="str">
        <x:v>Open</x:v>
      </x:c>
      <x:c r="D492" t="str">
        <x:v>TV</x:v>
      </x:c>
      <x:c r="E492" t="str">
        <x:v>East</x:v>
      </x:c>
      <x:c r="F492" t="str">
        <x:v>Medium</x:v>
      </x:c>
      <x:c r="G492" t="str">
        <x:v>No Signal</x:v>
      </x:c>
      <x:c r="H492" s="3" t="n">
        <x:v>8.2</x:v>
      </x:c>
      <x:c r="I492" s="3" t="n">
        <x:v>73</x:v>
      </x:c>
      <x:c r="J492" s="3" t="n">
        <x:v>4</x:v>
      </x:c>
      <x:c r="K492" t="str">
        <x:v>Phone</x:v>
      </x:c>
      <x:c r="L492" t="str">
        <x:v>Tech 11</x:v>
      </x:c>
    </x:row>
    <x:row r="493">
      <x:c r="A493" t="str">
        <x:v>TS-8492</x:v>
      </x:c>
      <x:c r="B493" t="str">
        <x:v>Dec</x:v>
      </x:c>
      <x:c r="C493" t="str">
        <x:v>Resolved</x:v>
      </x:c>
      <x:c r="D493" t="str">
        <x:v>Mobile</x:v>
      </x:c>
      <x:c r="E493" t="str">
        <x:v>West</x:v>
      </x:c>
      <x:c r="F493" t="str">
        <x:v>High</x:v>
      </x:c>
      <x:c r="G493" t="str">
        <x:v>Installation Delay</x:v>
      </x:c>
      <x:c r="H493" s="3" t="n">
        <x:v>11.5</x:v>
      </x:c>
      <x:c r="I493" s="3" t="n">
        <x:v>82.7</x:v>
      </x:c>
      <x:c r="J493" s="3" t="n">
        <x:v>2.6</x:v>
      </x:c>
      <x:c r="K493" t="str">
        <x:v>Web</x:v>
      </x:c>
      <x:c r="L493" t="str">
        <x:v>Tech 18</x:v>
      </x:c>
    </x:row>
    <x:row r="494">
      <x:c r="A494" t="str">
        <x:v>TS-8493</x:v>
      </x:c>
      <x:c r="B494" t="str">
        <x:v>Jan</x:v>
      </x:c>
      <x:c r="C494" t="str">
        <x:v>In Progress</x:v>
      </x:c>
      <x:c r="D494" t="str">
        <x:v>Broadband</x:v>
      </x:c>
      <x:c r="E494" t="str">
        <x:v>North</x:v>
      </x:c>
      <x:c r="F494" t="str">
        <x:v>Low</x:v>
      </x:c>
      <x:c r="G494" t="str">
        <x:v>Slow Internet</x:v>
      </x:c>
      <x:c r="H494" s="3" t="n">
        <x:v>10.799999999999999</x:v>
      </x:c>
      <x:c r="I494" s="3" t="n">
        <x:v>76.4</x:v>
      </x:c>
      <x:c r="J494" s="3" t="n">
        <x:v>3.7</x:v>
      </x:c>
      <x:c r="K494" t="str">
        <x:v>App</x:v>
      </x:c>
      <x:c r="L494" t="str">
        <x:v>Tech 7</x:v>
      </x:c>
    </x:row>
    <x:row r="495">
      <x:c r="A495" t="str">
        <x:v>TS-8494</x:v>
      </x:c>
      <x:c r="B495" t="str">
        <x:v>Feb</x:v>
      </x:c>
      <x:c r="C495" t="str">
        <x:v>Open</x:v>
      </x:c>
      <x:c r="D495" t="str">
        <x:v>Landline</x:v>
      </x:c>
      <x:c r="E495" t="str">
        <x:v>South</x:v>
      </x:c>
      <x:c r="F495" t="str">
        <x:v>Medium</x:v>
      </x:c>
      <x:c r="G495" t="str">
        <x:v>Service Outage</x:v>
      </x:c>
      <x:c r="H495" s="3" t="n">
        <x:v>12.1</x:v>
      </x:c>
      <x:c r="I495" s="3" t="n">
        <x:v>78.1</x:v>
      </x:c>
      <x:c r="J495" s="3" t="n">
        <x:v>4.8</x:v>
      </x:c>
      <x:c r="K495" t="str">
        <x:v>Retail</x:v>
      </x:c>
      <x:c r="L495" t="str">
        <x:v>Tech 14</x:v>
      </x:c>
    </x:row>
    <x:row r="496">
      <x:c r="A496" t="str">
        <x:v>TS-8495</x:v>
      </x:c>
      <x:c r="B496" t="str">
        <x:v>Mar</x:v>
      </x:c>
      <x:c r="C496" t="str">
        <x:v>Open</x:v>
      </x:c>
      <x:c r="D496" t="str">
        <x:v>TV</x:v>
      </x:c>
      <x:c r="E496" t="str">
        <x:v>East</x:v>
      </x:c>
      <x:c r="F496" t="str">
        <x:v>High</x:v>
      </x:c>
      <x:c r="G496" t="str">
        <x:v>Dropped Calls</x:v>
      </x:c>
      <x:c r="H496" s="3" t="n">
        <x:v>15.399999999999999</x:v>
      </x:c>
      <x:c r="I496" s="3" t="n">
        <x:v>87.8</x:v>
      </x:c>
      <x:c r="J496" s="3" t="n">
        <x:v>3.4</x:v>
      </x:c>
      <x:c r="K496" t="str">
        <x:v>Phone</x:v>
      </x:c>
      <x:c r="L496" t="str">
        <x:v>Tech 3</x:v>
      </x:c>
    </x:row>
    <x:row r="497">
      <x:c r="A497" t="str">
        <x:v>TS-8496</x:v>
      </x:c>
      <x:c r="B497" t="str">
        <x:v>Apr</x:v>
      </x:c>
      <x:c r="C497" t="str">
        <x:v>Resolved</x:v>
      </x:c>
      <x:c r="D497" t="str">
        <x:v>Mobile</x:v>
      </x:c>
      <x:c r="E497" t="str">
        <x:v>West</x:v>
      </x:c>
      <x:c r="F497" t="str">
        <x:v>Low</x:v>
      </x:c>
      <x:c r="G497" t="str">
        <x:v>Billing Error</x:v>
      </x:c>
      <x:c r="H497" s="3" t="n">
        <x:v>14.7</x:v>
      </x:c>
      <x:c r="I497" s="3" t="n">
        <x:v>81.5</x:v>
      </x:c>
      <x:c r="J497" s="3" t="n">
        <x:v>4.5</x:v>
      </x:c>
      <x:c r="K497" t="str">
        <x:v>Web</x:v>
      </x:c>
      <x:c r="L497" t="str">
        <x:v>Tech 10</x:v>
      </x:c>
    </x:row>
    <x:row r="498">
      <x:c r="A498" t="str">
        <x:v>TS-8497</x:v>
      </x:c>
      <x:c r="B498" t="str">
        <x:v>May</x:v>
      </x:c>
      <x:c r="C498" t="str">
        <x:v>In Progress</x:v>
      </x:c>
      <x:c r="D498" t="str">
        <x:v>Broadband</x:v>
      </x:c>
      <x:c r="E498" t="str">
        <x:v>North</x:v>
      </x:c>
      <x:c r="F498" t="str">
        <x:v>Medium</x:v>
      </x:c>
      <x:c r="G498" t="str">
        <x:v>No Signal</x:v>
      </x:c>
      <x:c r="H498" s="3" t="n">
        <x:v>16</x:v>
      </x:c>
      <x:c r="I498" s="3" t="n">
        <x:v>83.2</x:v>
      </x:c>
      <x:c r="J498" s="3" t="n">
        <x:v>3.1</x:v>
      </x:c>
      <x:c r="K498" t="str">
        <x:v>App</x:v>
      </x:c>
      <x:c r="L498" t="str">
        <x:v>Tech 17</x:v>
      </x:c>
    </x:row>
    <x:row r="499">
      <x:c r="A499" t="str">
        <x:v>TS-8498</x:v>
      </x:c>
      <x:c r="B499" t="str">
        <x:v>Jun</x:v>
      </x:c>
      <x:c r="C499" t="str">
        <x:v>Open</x:v>
      </x:c>
      <x:c r="D499" t="str">
        <x:v>Landline</x:v>
      </x:c>
      <x:c r="E499" t="str">
        <x:v>South</x:v>
      </x:c>
      <x:c r="F499" t="str">
        <x:v>High</x:v>
      </x:c>
      <x:c r="G499" t="str">
        <x:v>Installation Delay</x:v>
      </x:c>
      <x:c r="H499" s="3" t="n">
        <x:v>19.3</x:v>
      </x:c>
      <x:c r="I499" s="3" t="n">
        <x:v>92.9</x:v>
      </x:c>
      <x:c r="J499" s="3" t="n">
        <x:v>4.2</x:v>
      </x:c>
      <x:c r="K499" t="str">
        <x:v>Retail</x:v>
      </x:c>
      <x:c r="L499" t="str">
        <x:v>Tech 6</x:v>
      </x:c>
    </x:row>
    <x:row r="500">
      <x:c r="A500" t="str">
        <x:v>TS-8499</x:v>
      </x:c>
      <x:c r="B500" t="str">
        <x:v>Jul</x:v>
      </x:c>
      <x:c r="C500" t="str">
        <x:v>Resolved</x:v>
      </x:c>
      <x:c r="D500" t="str">
        <x:v>TV</x:v>
      </x:c>
      <x:c r="E500" t="str">
        <x:v>East</x:v>
      </x:c>
      <x:c r="F500" t="str">
        <x:v>Low</x:v>
      </x:c>
      <x:c r="G500" t="str">
        <x:v>Slow Internet</x:v>
      </x:c>
      <x:c r="H500" s="3" t="n">
        <x:v>18.599999999999998</x:v>
      </x:c>
      <x:c r="I500" s="3" t="n">
        <x:v>86.6</x:v>
      </x:c>
      <x:c r="J500" s="3" t="n">
        <x:v>2.8</x:v>
      </x:c>
      <x:c r="K500" t="str">
        <x:v>Phone</x:v>
      </x:c>
      <x:c r="L500" t="str">
        <x:v>Tech 13</x:v>
      </x:c>
    </x:row>
    <x:row r="501">
      <x:c r="A501" t="str">
        <x:v>TS-8500</x:v>
      </x:c>
      <x:c r="B501" t="str">
        <x:v>Aug</x:v>
      </x:c>
      <x:c r="C501" t="str">
        <x:v>In Progress</x:v>
      </x:c>
      <x:c r="D501" t="str">
        <x:v>Mobile</x:v>
      </x:c>
      <x:c r="E501" t="str">
        <x:v>West</x:v>
      </x:c>
      <x:c r="F501" t="str">
        <x:v>Medium</x:v>
      </x:c>
      <x:c r="G501" t="str">
        <x:v>Service Outage</x:v>
      </x:c>
      <x:c r="H501" s="3" t="n">
        <x:v>19.9</x:v>
      </x:c>
      <x:c r="I501" s="3" t="n">
        <x:v>88.3</x:v>
      </x:c>
      <x:c r="J501" s="3" t="n">
        <x:v>3.9</x:v>
      </x:c>
      <x:c r="K501" t="str">
        <x:v>Web</x:v>
      </x:c>
      <x:c r="L501" t="str">
        <x:v>Tech 2</x:v>
      </x:c>
    </x:row>
  </x:sheetData>
  <x:conditionalFormatting sqref="C2:C501">
    <x:cfRule type="containsText" dxfId="0" priority="1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e11aab86a5a344a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2" t="str">
        <x:v>Issue Type</x:v>
      </x:c>
      <x:c r="B1" s="2" t="str">
        <x:v>Tickets</x:v>
      </x:c>
      <x:c r="C1" s="2"/>
      <x:c r="D1" s="2" t="str">
        <x:v>Priority</x:v>
      </x:c>
      <x:c r="E1" s="2" t="str">
        <x:v>Tickets</x:v>
      </x:c>
      <x:c r="F1" s="2"/>
      <x:c r="G1" s="2" t="str">
        <x:v>Service Type</x:v>
      </x:c>
      <x:c r="H1" s="2" t="str">
        <x:v>Tickets</x:v>
      </x:c>
    </x:row>
    <x:row r="2">
      <x:c r="A2" t="str">
        <x:v>Slow Internet</x:v>
      </x:c>
      <x:c r="B2" t="n">
        <x:f>COUNTIF('Ticket Data'!$G$2:$G$501,A2)</x:f>
        <x:v>84</x:v>
      </x:c>
      <x:c r="D2" t="str">
        <x:v>Low</x:v>
      </x:c>
      <x:c r="E2" t="n">
        <x:f>COUNTIF('Ticket Data'!$F$2:$F$501,D2)</x:f>
        <x:v>167</x:v>
      </x:c>
      <x:c r="G2" t="str">
        <x:v>Broadband</x:v>
      </x:c>
      <x:c r="H2" t="n">
        <x:f>COUNTIF('Ticket Data'!$D$2:$D$501,G2)</x:f>
        <x:v>125</x:v>
      </x:c>
    </x:row>
    <x:row r="3">
      <x:c r="A3" t="str">
        <x:v>Installation Delay</x:v>
      </x:c>
      <x:c r="B3" t="n">
        <x:f>COUNTIF('Ticket Data'!$G$2:$G$501,A3)</x:f>
        <x:v>83</x:v>
      </x:c>
      <x:c r="D3" t="str">
        <x:v>Medium</x:v>
      </x:c>
      <x:c r="E3" t="n">
        <x:f>COUNTIF('Ticket Data'!$F$2:$F$501,D3)</x:f>
        <x:v>167</x:v>
      </x:c>
      <x:c r="G3" t="str">
        <x:v>Mobile</x:v>
      </x:c>
      <x:c r="H3" t="n">
        <x:f>COUNTIF('Ticket Data'!$D$2:$D$501,G3)</x:f>
        <x:v>125</x:v>
      </x:c>
    </x:row>
    <x:row r="4">
      <x:c r="A4" t="str">
        <x:v>No Signal</x:v>
      </x:c>
      <x:c r="B4" t="n">
        <x:f>COUNTIF('Ticket Data'!$G$2:$G$501,A4)</x:f>
        <x:v>83</x:v>
      </x:c>
      <x:c r="D4" t="str">
        <x:v>High</x:v>
      </x:c>
      <x:c r="E4" t="n">
        <x:f>COUNTIF('Ticket Data'!$F$2:$F$501,D4)</x:f>
        <x:v>166</x:v>
      </x:c>
      <x:c r="G4" t="str">
        <x:v>TV</x:v>
      </x:c>
      <x:c r="H4" t="n">
        <x:f>COUNTIF('Ticket Data'!$D$2:$D$501,G4)</x:f>
        <x:v>125</x:v>
      </x:c>
    </x:row>
    <x:row r="5">
      <x:c r="A5" t="str">
        <x:v>Billing Error</x:v>
      </x:c>
      <x:c r="B5" t="n">
        <x:f>COUNTIF('Ticket Data'!$G$2:$G$501,A5)</x:f>
        <x:v>83</x:v>
      </x:c>
      <x:c r="G5" t="str">
        <x:v>Landline</x:v>
      </x:c>
      <x:c r="H5" t="n">
        <x:f>COUNTIF('Ticket Data'!$D$2:$D$501,G5)</x:f>
        <x:v>125</x:v>
      </x:c>
    </x:row>
    <x:row r="6">
      <x:c r="A6" t="str">
        <x:v>Dropped Calls</x:v>
      </x:c>
      <x:c r="B6" t="n">
        <x:f>COUNTIF('Ticket Data'!$G$2:$G$501,A6)</x:f>
        <x:v>83</x:v>
      </x:c>
    </x:row>
    <x:row r="7">
      <x:c r="A7" t="str">
        <x:v>Service Outage</x:v>
      </x:c>
      <x:c r="B7" t="n">
        <x:f>COUNTIF('Ticket Data'!$G$2:$G$501,A7)</x:f>
        <x:v>84</x:v>
      </x:c>
    </x:row>
    <x:row r="10">
      <x:c r="A10" s="2" t="str">
        <x:v>Month</x:v>
      </x:c>
      <x:c r="B10" s="2" t="str">
        <x:v>Tickets</x:v>
      </x:c>
      <x:c r="C10" s="2"/>
      <x:c r="D10" s="2"/>
      <x:c r="E10" s="2"/>
      <x:c r="F10" s="2"/>
      <x:c r="G10" s="2"/>
      <x:c r="H10" s="2"/>
    </x:row>
    <x:row r="11">
      <x:c r="A11" t="str">
        <x:v>Jan</x:v>
      </x:c>
      <x:c r="B11" t="n">
        <x:f>COUNTIF('Ticket Data'!$B$2:$B$501,A11)</x:f>
        <x:v>42</x:v>
      </x:c>
    </x:row>
    <x:row r="12">
      <x:c r="A12" t="str">
        <x:v>Feb</x:v>
      </x:c>
      <x:c r="B12" t="n">
        <x:f>COUNTIF('Ticket Data'!$B$2:$B$501,A12)</x:f>
        <x:v>42</x:v>
      </x:c>
    </x:row>
    <x:row r="13">
      <x:c r="A13" t="str">
        <x:v>Mar</x:v>
      </x:c>
      <x:c r="B13" t="n">
        <x:f>COUNTIF('Ticket Data'!$B$2:$B$501,A13)</x:f>
        <x:v>42</x:v>
      </x:c>
    </x:row>
    <x:row r="14">
      <x:c r="A14" t="str">
        <x:v>Apr</x:v>
      </x:c>
      <x:c r="B14" t="n">
        <x:f>COUNTIF('Ticket Data'!$B$2:$B$501,A14)</x:f>
        <x:v>42</x:v>
      </x:c>
    </x:row>
    <x:row r="15">
      <x:c r="A15" t="str">
        <x:v>May</x:v>
      </x:c>
      <x:c r="B15" t="n">
        <x:f>COUNTIF('Ticket Data'!$B$2:$B$501,A15)</x:f>
        <x:v>42</x:v>
      </x:c>
    </x:row>
    <x:row r="16">
      <x:c r="A16" t="str">
        <x:v>Jun</x:v>
      </x:c>
      <x:c r="B16" t="n">
        <x:f>COUNTIF('Ticket Data'!$B$2:$B$501,A16)</x:f>
        <x:v>42</x:v>
      </x:c>
    </x:row>
    <x:row r="17">
      <x:c r="A17" t="str">
        <x:v>Jul</x:v>
      </x:c>
      <x:c r="B17" t="n">
        <x:f>COUNTIF('Ticket Data'!$B$2:$B$501,A17)</x:f>
        <x:v>42</x:v>
      </x:c>
    </x:row>
    <x:row r="18">
      <x:c r="A18" t="str">
        <x:v>Aug</x:v>
      </x:c>
      <x:c r="B18" t="n">
        <x:f>COUNTIF('Ticket Data'!$B$2:$B$501,A18)</x:f>
        <x:v>42</x:v>
      </x:c>
    </x:row>
    <x:row r="19">
      <x:c r="A19" t="str">
        <x:v>Sep</x:v>
      </x:c>
      <x:c r="B19" t="n">
        <x:f>COUNTIF('Ticket Data'!$B$2:$B$501,A19)</x:f>
        <x:v>41</x:v>
      </x:c>
    </x:row>
    <x:row r="20">
      <x:c r="A20" t="str">
        <x:v>Oct</x:v>
      </x:c>
      <x:c r="B20" t="n">
        <x:f>COUNTIF('Ticket Data'!$B$2:$B$501,A20)</x:f>
        <x:v>41</x:v>
      </x:c>
    </x:row>
    <x:row r="21">
      <x:c r="A21" t="str">
        <x:v>Nov</x:v>
      </x:c>
      <x:c r="B21" t="n">
        <x:f>COUNTIF('Ticket Data'!$B$2:$B$501,A21)</x:f>
        <x:v>41</x:v>
      </x:c>
    </x:row>
    <x:row r="22">
      <x:c r="A22" t="str">
        <x:v>Dec</x:v>
      </x:c>
      <x:c r="B22" t="n">
        <x:f>COUNTIF('Ticket Data'!$B$2:$B$501,A22)</x:f>
        <x:v>41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2" hidden="0" customWidth="1"/>
    <x:col min="3" max="3" width="44" hidden="0" customWidth="1"/>
  </x:cols>
  <x:sheetData>
    <x:row r="1" ht="38" customHeight="1">
      <x:c r="A1" s="2" t="str">
        <x:v>KPI</x:v>
      </x:c>
      <x:c r="B1" s="164" t="str">
        <x:v>Definition</x:v>
      </x:c>
      <x:c r="C1" s="164" t="str">
        <x:v>Logic</x:v>
      </x:c>
    </x:row>
    <x:row r="2" ht="38" customHeight="1">
      <x:c r="A2" t="str">
        <x:v>Total Tickets</x:v>
      </x:c>
      <x:c r="B2" t="str">
        <x:v>Tickets matching the selected filters</x:v>
      </x:c>
      <x:c r="C2" t="str">
        <x:v>Filtered ticket count</x:v>
      </x:c>
    </x:row>
    <x:row r="3" ht="38" customHeight="1">
      <x:c r="A3" t="str">
        <x:v>Average Response</x:v>
      </x:c>
      <x:c r="B3" t="str">
        <x:v>Average hours to first response</x:v>
      </x:c>
      <x:c r="C3" t="str">
        <x:v>Average response hours</x:v>
      </x:c>
    </x:row>
    <x:row r="4" ht="38" customHeight="1">
      <x:c r="A4" t="str">
        <x:v>Average Resolution</x:v>
      </x:c>
      <x:c r="B4" t="str">
        <x:v>Average hours to resolution</x:v>
      </x:c>
      <x:c r="C4" t="str">
        <x:v>Average resolution hours</x:v>
      </x:c>
    </x:row>
    <x:row r="5" ht="38" customHeight="1">
      <x:c r="A5" t="str">
        <x:v>Average Rating</x:v>
      </x:c>
      <x:c r="B5" t="str">
        <x:v>Mean customer rating on a 1–5 scale</x:v>
      </x:c>
      <x:c r="C5" t="str">
        <x:v>Average rating</x:v>
      </x:c>
    </x:row>
    <x:row r="6" ht="38" customHeight="1">
      <x:c r="A6" t="str">
        <x:v>SLA Compliance</x:v>
      </x:c>
      <x:c r="B6" t="str">
        <x:v>Tickets with response ≤12h and resolution ≤72h</x:v>
      </x:c>
      <x:c r="C6" t="str">
        <x:v>Compliant tickets / total tickets</x:v>
      </x:c>
    </x:row>
    <x:row r="7" ht="38" customHeight="1">
      <x:c r="A7" t="str">
        <x:v>Issue Driver</x:v>
      </x:c>
      <x:c r="B7" t="str">
        <x:v>Ticket volume by issue category</x:v>
      </x:c>
      <x:c r="C7" t="str">
        <x:v>Count by issue type</x:v>
      </x:c>
    </x:row>
  </x:sheetData>
  <x:pageMargins left="0.7" right="0.7" top="0.75" bottom="0.75" header="0.3" footer="0.3"/>
</x:worksheet>
</file>